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yboi\PycharmProjects\microbiology_diploma\"/>
    </mc:Choice>
  </mc:AlternateContent>
  <xr:revisionPtr revIDLastSave="0" documentId="13_ncr:1_{575BA546-E84F-41A3-923A-06E2CC16FF4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oznań" sheetId="1" r:id="rId1"/>
    <sheet name="Łódź" sheetId="2" r:id="rId2"/>
    <sheet name="Rybnik" sheetId="3" r:id="rId3"/>
    <sheet name="WPN" sheetId="4" r:id="rId4"/>
    <sheet name="Drawieński park Narodow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3" l="1"/>
  <c r="BG5" i="3"/>
  <c r="BG5" i="2"/>
  <c r="BG6" i="2"/>
  <c r="BG7" i="2"/>
  <c r="BG3" i="3"/>
  <c r="BG2" i="3"/>
  <c r="BG3" i="2"/>
  <c r="BG4" i="2"/>
  <c r="B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tc={45B5EF8C-1D57-4C8A-8829-2DE710545798}</author>
    <author>tc={A1DB99F4-6128-4C3C-AEFA-5220C0CE5552}</author>
    <author>tc={059468F3-9633-4521-B9FC-8199555CADCD}</author>
    <author>tc={83931FD1-9BF8-4093-8E2C-FA300F0258C4}</author>
    <author>tc={B1E96C09-3045-4936-A1D1-068F22D95FDE}</author>
    <author>tc={73AF2CE0-0618-4CFF-89C3-BA430492EE2F}</author>
    <author>tc={2CF87BD1-1B21-48EA-97AB-4F9F00D33E5F}</author>
    <author>Mateusz Pluskota</author>
    <author>tc={F1412C96-0742-43EB-A6AC-32BD91B6F74C}</author>
    <author>tc={A29A17CB-2694-403F-922D-71790ECDACFE}</author>
    <author>tc={0A9D777E-F0E6-4CBF-953F-FB1392FB8E81}</author>
    <author>tc={6B24137C-2343-45B3-9D73-4E10A39967CD}</author>
  </authors>
  <commentList>
    <comment ref="D1" authorId="0" shapeId="0" xr:uid="{45B5EF8C-1D57-4C8A-8829-2DE71054579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visualcrossing</t>
      </text>
    </comment>
    <comment ref="T1" authorId="1" shapeId="0" xr:uid="{A1DB99F4-6128-4C3C-AEFA-5220C0CE555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www.wunderground.com</t>
      </text>
    </comment>
    <comment ref="C2" authorId="2" shapeId="0" xr:uid="{059468F3-9633-4521-B9FC-8199555CADC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51.727160, 19.349553</t>
      </text>
    </comment>
    <comment ref="AF2" authorId="3" shapeId="0" xr:uid="{83931FD1-9BF8-4093-8E2C-FA300F0258C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ul. legionów</t>
      </text>
    </comment>
    <comment ref="C3" authorId="4" shapeId="0" xr:uid="{B1E96C09-3045-4936-A1D1-068F22D95FD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51.763427, 19.447566</t>
      </text>
    </comment>
    <comment ref="AF3" authorId="5" shapeId="0" xr:uid="{73AF2CE0-0618-4CFF-89C3-BA430492EE2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ul. legionów</t>
      </text>
    </comment>
    <comment ref="C4" authorId="6" shapeId="0" xr:uid="{2CF87BD1-1B21-48EA-97AB-4F9F00D33E5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51.816577, 19.434599</t>
      </text>
    </comment>
    <comment ref="AC5" authorId="7" shapeId="0" xr:uid="{CD50974F-E6BA-41F1-804B-2038E5C07555}">
      <text>
        <r>
          <rPr>
            <sz val="11"/>
            <color theme="1"/>
            <rFont val="Calibri"/>
            <family val="2"/>
            <scheme val="minor"/>
          </rPr>
          <t>Mateusz Pluskota:
Jana Pawła</t>
        </r>
      </text>
    </comment>
    <comment ref="AF5" authorId="8" shapeId="0" xr:uid="{F1412C96-0742-43EB-A6AC-32BD91B6F74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legionów</t>
      </text>
    </comment>
    <comment ref="AK5" authorId="7" shapeId="0" xr:uid="{EAF996CF-5750-4099-BF23-52A980194042}">
      <text>
        <r>
          <rPr>
            <sz val="11"/>
            <color theme="1"/>
            <rFont val="Calibri"/>
            <family val="2"/>
            <scheme val="minor"/>
          </rPr>
          <t>Mateusz Pluskota:
Jana Pawła</t>
        </r>
      </text>
    </comment>
    <comment ref="AO5" authorId="9" shapeId="0" xr:uid="{A29A17CB-2694-403F-922D-71790ECDACF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Gdańska</t>
      </text>
    </comment>
    <comment ref="AS5" authorId="7" shapeId="0" xr:uid="{EF5C4F3A-531F-4940-A0B4-357D4D80B4EA}">
      <text>
        <r>
          <rPr>
            <sz val="11"/>
            <color theme="1"/>
            <rFont val="Calibri"/>
            <family val="2"/>
            <scheme val="minor"/>
          </rPr>
          <t>Mateusz Pluskota:
Jana Pawła</t>
        </r>
      </text>
    </comment>
    <comment ref="AC6" authorId="10" shapeId="0" xr:uid="{0A9D777E-F0E6-4CBF-953F-FB1392FB8E8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gdańska</t>
      </text>
    </comment>
    <comment ref="AF6" authorId="7" shapeId="0" xr:uid="{05D64095-C34C-4DDE-B827-26F563A2A8AA}">
      <text>
        <r>
          <rPr>
            <sz val="11"/>
            <color theme="1"/>
            <rFont val="Calibri"/>
            <family val="2"/>
            <scheme val="minor"/>
          </rPr>
          <t>Mateusz Pluskota:
legionów</t>
        </r>
      </text>
    </comment>
    <comment ref="AK6" authorId="11" shapeId="0" xr:uid="{6B24137C-2343-45B3-9D73-4E10A39967C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gdańska</t>
      </text>
    </comment>
    <comment ref="AO6" authorId="7" shapeId="0" xr:uid="{353E047C-F26D-4F16-8D95-AE3B5C98B662}">
      <text>
        <r>
          <rPr>
            <sz val="11"/>
            <color theme="1"/>
            <rFont val="Calibri"/>
            <family val="2"/>
            <scheme val="minor"/>
          </rPr>
          <t>Mateusz Pluskota:
Gdańska</t>
        </r>
      </text>
    </comment>
    <comment ref="AS6" authorId="7" shapeId="0" xr:uid="{5DB9DEF0-6C59-49BC-B21E-119549EABC1A}">
      <text>
        <r>
          <rPr>
            <sz val="11"/>
            <color theme="1"/>
            <rFont val="Calibri"/>
            <family val="2"/>
            <scheme val="minor"/>
          </rPr>
          <t>Mateusz Pluskota:
Jana Pawła</t>
        </r>
      </text>
    </comment>
    <comment ref="AC7" authorId="7" shapeId="0" xr:uid="{BA295D06-6415-4EB5-AB8F-B2DA32D824C6}">
      <text>
        <r>
          <rPr>
            <sz val="11"/>
            <color theme="1"/>
            <rFont val="Calibri"/>
            <family val="2"/>
            <scheme val="minor"/>
          </rPr>
          <t>Mateusz Pluskota:
Zgierz</t>
        </r>
      </text>
    </comment>
    <comment ref="AG7" authorId="7" shapeId="0" xr:uid="{B2CABFC8-036E-46C2-9493-7407F3218C14}">
      <text>
        <r>
          <rPr>
            <sz val="11"/>
            <color theme="1"/>
            <rFont val="Calibri"/>
            <family val="2"/>
            <scheme val="minor"/>
          </rPr>
          <t>Mateusz Pluskota:
Zgierz</t>
        </r>
      </text>
    </comment>
    <comment ref="AK7" authorId="7" shapeId="0" xr:uid="{32A9ADE9-BBDA-45EB-A203-E41746CCDCB5}">
      <text>
        <r>
          <rPr>
            <sz val="11"/>
            <color theme="1"/>
            <rFont val="Calibri"/>
            <family val="2"/>
            <scheme val="minor"/>
          </rPr>
          <t>Mateusz Pluskota:
Zgierz</t>
        </r>
      </text>
    </comment>
    <comment ref="AO7" authorId="7" shapeId="0" xr:uid="{960B0242-185A-4A14-A5E4-32E67357B9F7}">
      <text>
        <r>
          <rPr>
            <sz val="11"/>
            <color theme="1"/>
            <rFont val="Calibri"/>
            <family val="2"/>
            <scheme val="minor"/>
          </rPr>
          <t>Mateusz Pluskota:
Zgierz</t>
        </r>
      </text>
    </comment>
    <comment ref="AS7" authorId="7" shapeId="0" xr:uid="{6FAAFE48-A95D-41A0-BCCA-8ADAF56F2977}">
      <text>
        <r>
          <rPr>
            <sz val="11"/>
            <color theme="1"/>
            <rFont val="Calibri"/>
            <family val="2"/>
            <scheme val="minor"/>
          </rPr>
          <t>Mateusz Pluskota:
Zgierz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tc={776395C4-2416-4954-8BCE-C162D3F5CDDC}</author>
    <author>tc={CD7F592D-B5F5-49A0-B28D-BF288596DAFE}</author>
    <author>Mateusz Pluskota</author>
    <author>tc={3396A7A7-136E-4B0B-8BB5-BE5E5E830124}</author>
  </authors>
  <commentList>
    <comment ref="D1" authorId="0" shapeId="0" xr:uid="{776395C4-2416-4954-8BCE-C162D3F5CDD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www.visualcrossing.com</t>
      </text>
    </comment>
    <comment ref="C2" authorId="1" shapeId="0" xr:uid="{CD7F592D-B5F5-49A0-B28D-BF288596DAF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50.11431, 18.53386</t>
      </text>
    </comment>
    <comment ref="AF2" authorId="2" shapeId="0" xr:uid="{211D8536-E52A-4A5C-B1FC-DB7916490420}">
      <text>
        <r>
          <rPr>
            <sz val="11"/>
            <color theme="1"/>
            <rFont val="Calibri"/>
            <family val="2"/>
            <scheme val="minor"/>
          </rPr>
          <t>Mateusz Pluskota:
	Żory, Os. Gen. Władysława Sikorskiego</t>
        </r>
      </text>
    </comment>
    <comment ref="C3" authorId="3" shapeId="0" xr:uid="{3396A7A7-136E-4B0B-8BB5-BE5E5E83012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50.08882, 18.54116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tc={16641731-C7E7-4324-9DB1-2F1B049CDC25}</author>
    <author>tc={3D7A89E3-A34F-47F6-BCB2-2E4F74A40487}</author>
  </authors>
  <commentList>
    <comment ref="D1" authorId="0" shapeId="0" xr:uid="{16641731-C7E7-4324-9DB1-2F1B049CDC2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visualcrossing</t>
      </text>
    </comment>
    <comment ref="C2" authorId="1" shapeId="0" xr:uid="{3D7A89E3-A34F-47F6-BCB2-2E4F74A40487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53.054565, 15.957038</t>
      </text>
    </comment>
  </commentList>
</comments>
</file>

<file path=xl/sharedStrings.xml><?xml version="1.0" encoding="utf-8"?>
<sst xmlns="http://schemas.openxmlformats.org/spreadsheetml/2006/main" count="689" uniqueCount="289">
  <si>
    <t>lokalizacja</t>
  </si>
  <si>
    <t>Pobór</t>
  </si>
  <si>
    <t>Data/dzień/godzina</t>
  </si>
  <si>
    <t>3 dni przed</t>
  </si>
  <si>
    <t>2 dni przed</t>
  </si>
  <si>
    <t>dzień przed</t>
  </si>
  <si>
    <t>Temperatura stacja meteo (odczyt z apartu)</t>
  </si>
  <si>
    <t>Wilgotność</t>
  </si>
  <si>
    <t>Ciśnienie (hPa)</t>
  </si>
  <si>
    <t xml:space="preserve">Wiatr dzień poboru </t>
  </si>
  <si>
    <t>1 dzien przed poborem</t>
  </si>
  <si>
    <t>AQI dzień poboru</t>
  </si>
  <si>
    <t>3 dni przed poborem</t>
  </si>
  <si>
    <t>2 dni przed poborem</t>
  </si>
  <si>
    <t xml:space="preserve"> 1dzien przed</t>
  </si>
  <si>
    <t>PM10 dzien poboru (ug/m3)</t>
  </si>
  <si>
    <t>3 dni przed wyborem</t>
  </si>
  <si>
    <t>2 dni przed wyborem</t>
  </si>
  <si>
    <t>PM 2.5 (ug/m3)</t>
  </si>
  <si>
    <t xml:space="preserve"> 2 dni przed</t>
  </si>
  <si>
    <t>1 dzień</t>
  </si>
  <si>
    <t>PM 1 tylko nasz aparat(ug/m3)</t>
  </si>
  <si>
    <t>NO2 (ug/m3)</t>
  </si>
  <si>
    <t>NO (ug/m3)</t>
  </si>
  <si>
    <t>tlenki azotu (ug/m3)</t>
  </si>
  <si>
    <t>SO2 (ug/m3)</t>
  </si>
  <si>
    <t>CO (mg/m3)</t>
  </si>
  <si>
    <t>benzen (ug/m3)</t>
  </si>
  <si>
    <t>ozon (ug/m3)</t>
  </si>
  <si>
    <t>Ogólna Liczba drobnoustrojów/m3</t>
  </si>
  <si>
    <t>Liczba bakterii opornych na streptomycynę</t>
  </si>
  <si>
    <t>Częstość sterptomycynoopornych</t>
  </si>
  <si>
    <r>
      <rPr>
        <sz val="11"/>
        <color rgb="FF000000"/>
        <rFont val="Calibri"/>
        <family val="2"/>
        <charset val="238"/>
        <scheme val="minor"/>
      </rPr>
      <t xml:space="preserve">Liczba szczepów z </t>
    </r>
    <r>
      <rPr>
        <i/>
        <sz val="11"/>
        <color rgb="FF000000"/>
        <rFont val="Calibri"/>
        <family val="2"/>
        <charset val="238"/>
        <scheme val="minor"/>
      </rPr>
      <t>int I1/m3</t>
    </r>
  </si>
  <si>
    <t>Częstość intI+</t>
  </si>
  <si>
    <t>Liczba Campylobacter</t>
  </si>
  <si>
    <t>Liczba Listeria sp/m3</t>
  </si>
  <si>
    <t>Liczba L. monocytogenes/m3</t>
  </si>
  <si>
    <t>Liczba ESBL - na podstawie antybiogramów</t>
  </si>
  <si>
    <t>LIczba CRE - na podstawie antybiogramów</t>
  </si>
  <si>
    <t>Liczba mec+</t>
  </si>
  <si>
    <t>Częstość mec+</t>
  </si>
  <si>
    <t>Liczba VRE</t>
  </si>
  <si>
    <t>Liczba ESBL</t>
  </si>
  <si>
    <t>Liczba CRE - na podstawie antybiogramów</t>
  </si>
  <si>
    <t>sedymentacja</t>
  </si>
  <si>
    <t>Koziegłowy</t>
  </si>
  <si>
    <t>22.11.23 godz. 11-13</t>
  </si>
  <si>
    <t>-1,9 (-03)</t>
  </si>
  <si>
    <t>76,7 (57%)</t>
  </si>
  <si>
    <t>28,4 (41)</t>
  </si>
  <si>
    <t>21 (33)</t>
  </si>
  <si>
    <t>6,4×10^2</t>
  </si>
  <si>
    <t>2,3x10^2</t>
  </si>
  <si>
    <t>3,37x10^1</t>
  </si>
  <si>
    <t>no</t>
  </si>
  <si>
    <t>2,79×10^4</t>
  </si>
  <si>
    <t>1,25x10^1</t>
  </si>
  <si>
    <t>płuczka</t>
  </si>
  <si>
    <t>Most Uniwersytecki</t>
  </si>
  <si>
    <t>30.11.23 godz. 9-11</t>
  </si>
  <si>
    <t>-3,6 (-05)</t>
  </si>
  <si>
    <t>89,3 (93%)</t>
  </si>
  <si>
    <t>23,8 (34)</t>
  </si>
  <si>
    <t>26,1 (27)</t>
  </si>
  <si>
    <t>2,49×10^2</t>
  </si>
  <si>
    <t>3,93x10^1</t>
  </si>
  <si>
    <t>5,7x10^2</t>
  </si>
  <si>
    <t>2x10^1</t>
  </si>
  <si>
    <t>1,5x10^1</t>
  </si>
  <si>
    <t>Skrzyżowanie Bałtycka/Gdyńska</t>
  </si>
  <si>
    <t>30.11.23 godz. 13-15</t>
  </si>
  <si>
    <t>-3,6 (0)</t>
  </si>
  <si>
    <t>89,3 (51%)</t>
  </si>
  <si>
    <t>29,6 (34)</t>
  </si>
  <si>
    <t>20,6 (27)</t>
  </si>
  <si>
    <t>4,32×10^2</t>
  </si>
  <si>
    <t>2,62x10^1</t>
  </si>
  <si>
    <t>29.01.24 godz. 10-12</t>
  </si>
  <si>
    <t>2,7 (7)</t>
  </si>
  <si>
    <t>76 (39%)</t>
  </si>
  <si>
    <t>46,1 (51)</t>
  </si>
  <si>
    <t>39,9 (39)</t>
  </si>
  <si>
    <t>2,75×10^2</t>
  </si>
  <si>
    <t>3,75×10^2</t>
  </si>
  <si>
    <t>30.01.24 godz. 12-14</t>
  </si>
  <si>
    <t>3,9 (9)</t>
  </si>
  <si>
    <t>68,9 (37%)</t>
  </si>
  <si>
    <t>35,2 (40)</t>
  </si>
  <si>
    <t>30,5 (30)</t>
  </si>
  <si>
    <t>1,1×10^3</t>
  </si>
  <si>
    <t>6,16x10^2</t>
  </si>
  <si>
    <t>5,24x10^1</t>
  </si>
  <si>
    <t>1,64x10^1</t>
  </si>
  <si>
    <t>2,13×10^3</t>
  </si>
  <si>
    <t>2,22x10^1</t>
  </si>
  <si>
    <t>31.01.24 godz. 11-13</t>
  </si>
  <si>
    <t>4,7 (6)</t>
  </si>
  <si>
    <t>76,9 (62%)</t>
  </si>
  <si>
    <t>17,8 (26)</t>
  </si>
  <si>
    <t>15,6 (20)</t>
  </si>
  <si>
    <t>5,11 ×10^3</t>
  </si>
  <si>
    <t>2,62x10^2</t>
  </si>
  <si>
    <t>1,4x10^1</t>
  </si>
  <si>
    <t>3,7x10^1</t>
  </si>
  <si>
    <t>1x10^1</t>
  </si>
  <si>
    <t>20.03.24 godz. 9-11</t>
  </si>
  <si>
    <t>5,7 (17)</t>
  </si>
  <si>
    <t>64,3 (33%)</t>
  </si>
  <si>
    <t>65,9 (51)</t>
  </si>
  <si>
    <t>41,8 (40)</t>
  </si>
  <si>
    <t>2,88×10^2</t>
  </si>
  <si>
    <t>7,86x10^1</t>
  </si>
  <si>
    <t>20.03.24 godz. 12-15</t>
  </si>
  <si>
    <t>5,7 (15)</t>
  </si>
  <si>
    <t>64,3 (34%)</t>
  </si>
  <si>
    <t>43,6 (53)</t>
  </si>
  <si>
    <t>39,6 (43)</t>
  </si>
  <si>
    <t>1,23×10^3</t>
  </si>
  <si>
    <t>1,05x10^2</t>
  </si>
  <si>
    <t>1,3×10^3</t>
  </si>
  <si>
    <t>26.03.24 godz.</t>
  </si>
  <si>
    <t>7,5 (10)</t>
  </si>
  <si>
    <t>69 (43%)</t>
  </si>
  <si>
    <t>17,2 (25)</t>
  </si>
  <si>
    <t>14,2 (20)</t>
  </si>
  <si>
    <t>2,56×10^3</t>
  </si>
  <si>
    <t>5,24x10^2</t>
  </si>
  <si>
    <t>7×10^2</t>
  </si>
  <si>
    <t>3x10^1</t>
  </si>
  <si>
    <t>20.05.24 godz. 11-13</t>
  </si>
  <si>
    <t>18 (20)</t>
  </si>
  <si>
    <t>72,5 (40%)</t>
  </si>
  <si>
    <t>17,3 (21)</t>
  </si>
  <si>
    <t>13,6 (16)</t>
  </si>
  <si>
    <t>9,96×10^2</t>
  </si>
  <si>
    <t>9,17×10^1</t>
  </si>
  <si>
    <t>24.05.24 godz. 10-12</t>
  </si>
  <si>
    <t>18,2 (25)</t>
  </si>
  <si>
    <t>77,7 (46%)</t>
  </si>
  <si>
    <t>brak danych w bazie IMGW</t>
  </si>
  <si>
    <t>19,6 (19)</t>
  </si>
  <si>
    <t>8,7 (16)</t>
  </si>
  <si>
    <t>2,28×10^3</t>
  </si>
  <si>
    <t>3,01×10^2</t>
  </si>
  <si>
    <t>1,83x10^1</t>
  </si>
  <si>
    <t>1,83×10^1</t>
  </si>
  <si>
    <t>5×10^1 (?)</t>
  </si>
  <si>
    <t>24.05.24 godz. 12-14</t>
  </si>
  <si>
    <t>18,2 (18)</t>
  </si>
  <si>
    <t>77,7 (64%)</t>
  </si>
  <si>
    <t>19,6 (26)</t>
  </si>
  <si>
    <t>8,7 (20)</t>
  </si>
  <si>
    <t>1,26×10^3</t>
  </si>
  <si>
    <t>3,41×10^2</t>
  </si>
  <si>
    <t>1,31×10^1</t>
  </si>
  <si>
    <t>5,8×10^2</t>
  </si>
  <si>
    <t>23.07.24 godz. 10-11</t>
  </si>
  <si>
    <t>20,6 (22)</t>
  </si>
  <si>
    <t>72,2 (46%)</t>
  </si>
  <si>
    <t>1016 (1000)</t>
  </si>
  <si>
    <t>16,5 (14)</t>
  </si>
  <si>
    <t>6,4 (12)</t>
  </si>
  <si>
    <t>1,15×10^3</t>
  </si>
  <si>
    <t>1,18×10^2</t>
  </si>
  <si>
    <t>23.07.24 godz. 12-14</t>
  </si>
  <si>
    <t>20,6 (23)</t>
  </si>
  <si>
    <t>72,2 (39%)</t>
  </si>
  <si>
    <t>16,5 (15)</t>
  </si>
  <si>
    <t>1,44×10^2</t>
  </si>
  <si>
    <t>18,1 (18)</t>
  </si>
  <si>
    <t>63,6 (50%)</t>
  </si>
  <si>
    <t>17,1 (14)</t>
  </si>
  <si>
    <t>7,5 (11)</t>
  </si>
  <si>
    <t>3,54×10^2</t>
  </si>
  <si>
    <t>7,86×10^1</t>
  </si>
  <si>
    <t>19.09.2024 godz. 10-12</t>
  </si>
  <si>
    <t>18,1 (17)</t>
  </si>
  <si>
    <t>64,2 (69%)</t>
  </si>
  <si>
    <t>34,4 (34)</t>
  </si>
  <si>
    <t>17,2 (27)</t>
  </si>
  <si>
    <t>9,3×10^2</t>
  </si>
  <si>
    <t>2,74×10^1</t>
  </si>
  <si>
    <t>19.09.24 godz. 12-14:30</t>
  </si>
  <si>
    <t>18,1 (20)</t>
  </si>
  <si>
    <t>64,2 (50%)</t>
  </si>
  <si>
    <t>34,4 (30)</t>
  </si>
  <si>
    <t>17,2 (24)</t>
  </si>
  <si>
    <t>3,45×10^3</t>
  </si>
  <si>
    <t>5,11×10^2</t>
  </si>
  <si>
    <t>25.09.24 godz. 10-12</t>
  </si>
  <si>
    <t>-</t>
  </si>
  <si>
    <t>2,71×10^3</t>
  </si>
  <si>
    <t>25.11.24 godz. 10-12</t>
  </si>
  <si>
    <t>6 (9)</t>
  </si>
  <si>
    <t>79,4 (58%)</t>
  </si>
  <si>
    <t>24,12 (29)</t>
  </si>
  <si>
    <t>16 (23)</t>
  </si>
  <si>
    <t>2,27×10^3</t>
  </si>
  <si>
    <t>1,7×10^2</t>
  </si>
  <si>
    <t>25.11.24 godz. 12-14</t>
  </si>
  <si>
    <t>6 (11)</t>
  </si>
  <si>
    <t>79,4 (56%)</t>
  </si>
  <si>
    <t>24,12 (25)</t>
  </si>
  <si>
    <t>16 (21)</t>
  </si>
  <si>
    <t>2,57×10^3</t>
  </si>
  <si>
    <t>5,5×10^2</t>
  </si>
  <si>
    <t>6,55×10^1</t>
  </si>
  <si>
    <t>2,29×10^1</t>
  </si>
  <si>
    <t>25.11.24 godz 14-16</t>
  </si>
  <si>
    <t>6 (8)</t>
  </si>
  <si>
    <t>22,4 (24)</t>
  </si>
  <si>
    <t>15,52 (19)</t>
  </si>
  <si>
    <t>9,7×10^2</t>
  </si>
  <si>
    <t>2,23×10^2</t>
  </si>
  <si>
    <t>20.01.25 godz. 13-14:30</t>
  </si>
  <si>
    <t>1 (9)</t>
  </si>
  <si>
    <t>88,9 (48%)</t>
  </si>
  <si>
    <t>62,1 (80)</t>
  </si>
  <si>
    <t>55,3 (64)</t>
  </si>
  <si>
    <t>3,15×10^2</t>
  </si>
  <si>
    <t>2,62×10^1</t>
  </si>
  <si>
    <t>20.01.25 godz. 15-17</t>
  </si>
  <si>
    <t>1 (-1)</t>
  </si>
  <si>
    <t>88,9 (89%)</t>
  </si>
  <si>
    <t>55,69 (126)</t>
  </si>
  <si>
    <t>55,3 (98)</t>
  </si>
  <si>
    <t>1,47×10^3</t>
  </si>
  <si>
    <t>3,2×10^1</t>
  </si>
  <si>
    <t>21.01.25 godz. 13-14:30</t>
  </si>
  <si>
    <t>-0,9 (1)</t>
  </si>
  <si>
    <t>92,5 (61%)</t>
  </si>
  <si>
    <t>39,63 (69)</t>
  </si>
  <si>
    <t>38,9 (56)</t>
  </si>
  <si>
    <t>Temperatura</t>
  </si>
  <si>
    <t>Opad dobowy</t>
  </si>
  <si>
    <t>Wiatr dzień poboru</t>
  </si>
  <si>
    <t>Wiatr 1 dzień przed</t>
  </si>
  <si>
    <t>Wiatr 2 dni przed</t>
  </si>
  <si>
    <t>Wiatr 3 dni przed</t>
  </si>
  <si>
    <t>Ciśnienie</t>
  </si>
  <si>
    <t>PM10 dzien poboru</t>
  </si>
  <si>
    <t>PM10 1 dzien przed wyborem</t>
  </si>
  <si>
    <t>PM10 2 dni przed wyborem</t>
  </si>
  <si>
    <t>PM10  3 dni przed wyborem</t>
  </si>
  <si>
    <t>PM 2,5 dzien poboru</t>
  </si>
  <si>
    <t>NO2</t>
  </si>
  <si>
    <t>SO2</t>
  </si>
  <si>
    <t>CO</t>
  </si>
  <si>
    <t>PM2,5 (miernik)</t>
  </si>
  <si>
    <t>PM10</t>
  </si>
  <si>
    <t>PM1</t>
  </si>
  <si>
    <t>HCHO</t>
  </si>
  <si>
    <t>TVOC</t>
  </si>
  <si>
    <t>temp</t>
  </si>
  <si>
    <t>humid</t>
  </si>
  <si>
    <t>cisnienie</t>
  </si>
  <si>
    <t>wys. npm</t>
  </si>
  <si>
    <t>Liczba bakterii opornych na streptomycynę/m3</t>
  </si>
  <si>
    <t>LIczba CRE</t>
  </si>
  <si>
    <t>Liczba MRSA</t>
  </si>
  <si>
    <t>wwtp</t>
  </si>
  <si>
    <t>centrum</t>
  </si>
  <si>
    <t>casto</t>
  </si>
  <si>
    <t>Opad dobowy [mm]</t>
  </si>
  <si>
    <t>Wiatr dzień poboru [km/h]</t>
  </si>
  <si>
    <t>PM 2.5 dzien poboru</t>
  </si>
  <si>
    <t>PM2.5 (miernik)</t>
  </si>
  <si>
    <t>Liczba Listeria/m3</t>
  </si>
  <si>
    <t>3.01.24 godz. 14-15:30</t>
  </si>
  <si>
    <t>WPN</t>
  </si>
  <si>
    <t>7,8 (7)</t>
  </si>
  <si>
    <t>89,2 (73)</t>
  </si>
  <si>
    <t>22,7 (16)</t>
  </si>
  <si>
    <t>6,4 (13)</t>
  </si>
  <si>
    <t>2,36x10^2</t>
  </si>
  <si>
    <t>2,76x10^1</t>
  </si>
  <si>
    <t>20 (20)</t>
  </si>
  <si>
    <t>57,9 (55)</t>
  </si>
  <si>
    <t>1013 (1004)</t>
  </si>
  <si>
    <t>11,4 (14)</t>
  </si>
  <si>
    <t>8,6 (11)</t>
  </si>
  <si>
    <t>7,34×10^2</t>
  </si>
  <si>
    <t>31.01.2025 godz 10:30-12</t>
  </si>
  <si>
    <t>3,7 (6)</t>
  </si>
  <si>
    <t>89,4 (60)</t>
  </si>
  <si>
    <t>36,11 (18)</t>
  </si>
  <si>
    <t>14,08 (15)</t>
  </si>
  <si>
    <t>PM 1</t>
  </si>
  <si>
    <t>DPN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</si>
</sst>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238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0"/>
      <color rgb="FF262626"/>
      <name val="Arial"/>
      <family val="2"/>
      <charset val="238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6DADC"/>
      </right>
      <top/>
      <bottom style="thin">
        <color rgb="FFD6DA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0" fontId="0" fillId="0" borderId="0" xfId="0" applyNumberFormat="1"/>
    <xf numFmtId="9" fontId="0" fillId="0" borderId="0" xfId="0" applyNumberFormat="1"/>
    <xf numFmtId="0" fontId="1" fillId="4" borderId="1" xfId="0" applyFont="1" applyFill="1" applyBorder="1" applyAlignment="1">
      <alignment wrapText="1"/>
    </xf>
    <xf numFmtId="2" fontId="0" fillId="0" borderId="0" xfId="0" applyNumberFormat="1"/>
    <xf numFmtId="2" fontId="1" fillId="0" borderId="0" xfId="0" applyNumberFormat="1" applyFont="1"/>
    <xf numFmtId="2" fontId="4" fillId="0" borderId="0" xfId="0" applyNumberFormat="1" applyFont="1"/>
    <xf numFmtId="2" fontId="3" fillId="0" borderId="0" xfId="0" applyNumberFormat="1" applyFont="1"/>
    <xf numFmtId="2" fontId="5" fillId="0" borderId="0" xfId="0" applyNumberFormat="1" applyFont="1"/>
    <xf numFmtId="0" fontId="7" fillId="0" borderId="0" xfId="0" applyFont="1"/>
    <xf numFmtId="0" fontId="8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9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eusz Pluskota" id="{092A2971-6DF9-44F1-B959-27B1C32FEE42}" userId="S::matplu@amu.edu.pl::3beb3ab1-e09d-4f40-a095-b986aec8c877" providerId="AD"/>
</personList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7-16T09:42:58.15" personId="{092A2971-6DF9-44F1-B959-27B1C32FEE42}" id="{45B5EF8C-1D57-4C8A-8829-2DE710545798}">
    <text>visualcrossing</text>
  </threadedComment>
  <threadedComment ref="T1" dT="2024-04-29T14:11:44.19" personId="{092A2971-6DF9-44F1-B959-27B1C32FEE42}" id="{A1DB99F4-6128-4C3C-AEFA-5220C0CE5552}">
    <text>www.wunderground.com</text>
  </threadedComment>
  <threadedComment ref="C2" dT="2024-08-26T10:41:54.61" personId="{092A2971-6DF9-44F1-B959-27B1C32FEE42}" id="{059468F3-9633-4521-B9FC-8199555CADCD}">
    <text>51.727160, 19.349553</text>
  </threadedComment>
  <threadedComment ref="AF2" dT="2024-02-05T16:04:33.37" personId="{092A2971-6DF9-44F1-B959-27B1C32FEE42}" id="{83931FD1-9BF8-4093-8E2C-FA300F0258C4}">
    <text>ul. legionów</text>
  </threadedComment>
  <threadedComment ref="C3" dT="2024-08-26T10:43:54.12" personId="{092A2971-6DF9-44F1-B959-27B1C32FEE42}" id="{B1E96C09-3045-4936-A1D1-068F22D95FDE}">
    <text>51.763427, 19.447566</text>
  </threadedComment>
  <threadedComment ref="AF3" dT="2024-02-05T16:10:30.77" personId="{092A2971-6DF9-44F1-B959-27B1C32FEE42}" id="{73AF2CE0-0618-4CFF-89C3-BA430492EE2F}">
    <text>ul. legionów</text>
  </threadedComment>
  <threadedComment ref="C4" dT="2024-08-26T10:45:03.01" personId="{092A2971-6DF9-44F1-B959-27B1C32FEE42}" id="{2CF87BD1-1B21-48EA-97AB-4F9F00D33E5F}">
    <text>51.816577, 19.434599</text>
  </threadedComment>
  <threadedComment ref="AF5" dT="2024-04-08T11:31:15.26" personId="{092A2971-6DF9-44F1-B959-27B1C32FEE42}" id="{F1412C96-0742-43EB-A6AC-32BD91B6F74C}">
    <text>legionów</text>
  </threadedComment>
  <threadedComment ref="AO5" dT="2024-02-28T17:12:30.05" personId="{092A2971-6DF9-44F1-B959-27B1C32FEE42}" id="{A29A17CB-2694-403F-922D-71790ECDACFE}">
    <text>Gdańska</text>
  </threadedComment>
  <threadedComment ref="AC6" dT="2024-08-13T20:06:34.43" personId="{092A2971-6DF9-44F1-B959-27B1C32FEE42}" id="{0A9D777E-F0E6-4CBF-953F-FB1392FB8E81}">
    <text>gdańska</text>
  </threadedComment>
  <threadedComment ref="AK6" dT="2024-05-11T20:13:13.97" personId="{092A2971-6DF9-44F1-B959-27B1C32FEE42}" id="{6B24137C-2343-45B3-9D73-4E10A39967CD}">
    <text>gdańska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4-04-29T14:20:42.55" personId="{092A2971-6DF9-44F1-B959-27B1C32FEE42}" id="{776395C4-2416-4954-8BCE-C162D3F5CDDC}">
    <text>www.visualcrossing.com</text>
  </threadedComment>
  <threadedComment ref="C2" dT="2024-08-26T10:58:02.04" personId="{092A2971-6DF9-44F1-B959-27B1C32FEE42}" id="{CD7F592D-B5F5-49A0-B28D-BF288596DAFE}">
    <text>50.11431, 18.53386</text>
  </threadedComment>
  <threadedComment ref="C3" dT="2024-08-26T10:58:24.17" personId="{092A2971-6DF9-44F1-B959-27B1C32FEE42}" id="{3396A7A7-136E-4B0B-8BB5-BE5E5E830124}">
    <text>50.08882, 18.54116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4-07-16T09:43:16.76" personId="{092A2971-6DF9-44F1-B959-27B1C32FEE42}" id="{16641731-C7E7-4324-9DB1-2F1B049CDC25}">
    <text>visualcrossing</text>
  </threadedComment>
  <threadedComment ref="C2" dT="2024-10-21T16:55:50.18" personId="{092A2971-6DF9-44F1-B959-27B1C32FEE42}" id="{3D7A89E3-A34F-47F6-BCB2-2E4F74A40487}">
    <text>53.054565, 15.957038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"/>
  <sheetViews>
    <sheetView tabSelected="1" workbookViewId="0">
      <pane xSplit="2" ySplit="1" topLeftCell="BL2" activePane="bottomRight" state="frozen"/>
      <selection pane="topRight"/>
      <selection pane="bottomLeft"/>
      <selection pane="bottomRight" activeCell="BU1" sqref="BU1"/>
    </sheetView>
  </sheetViews>
  <sheetFormatPr defaultColWidth="9.140625" defaultRowHeight="15" outlineLevelCol="1" x14ac:dyDescent="0.25"/>
  <cols>
    <col min="1" max="1" width="12" customWidth="1"/>
    <col min="2" max="2" width="9.140625" bestFit="1" customWidth="1"/>
    <col min="3" max="3" width="26" customWidth="1"/>
    <col min="4" max="6" width="12" hidden="1" customWidth="1" outlineLevel="1"/>
    <col min="7" max="7" width="9.140625" bestFit="1" customWidth="1" collapsed="1"/>
    <col min="8" max="10" width="9.140625" hidden="1" customWidth="1" outlineLevel="1"/>
    <col min="11" max="11" width="9.140625" bestFit="1" customWidth="1" collapsed="1"/>
    <col min="12" max="14" width="9.140625" hidden="1" customWidth="1" outlineLevel="1"/>
    <col min="15" max="15" width="9.140625" bestFit="1" customWidth="1" collapsed="1"/>
    <col min="16" max="18" width="9.140625" hidden="1" customWidth="1" outlineLevel="1"/>
    <col min="19" max="19" width="9.140625" customWidth="1" collapsed="1"/>
    <col min="20" max="22" width="9.140625" hidden="1" customWidth="1" outlineLevel="1"/>
    <col min="23" max="23" width="9.140625" bestFit="1" customWidth="1" collapsed="1"/>
    <col min="24" max="26" width="9.140625" hidden="1" customWidth="1" outlineLevel="1"/>
    <col min="27" max="27" width="9.140625" customWidth="1" collapsed="1"/>
    <col min="28" max="30" width="9.140625" hidden="1" customWidth="1" outlineLevel="1"/>
    <col min="31" max="31" width="9.140625" customWidth="1" collapsed="1"/>
    <col min="32" max="34" width="9.140625" hidden="1" customWidth="1" outlineLevel="1"/>
    <col min="35" max="35" width="9.140625" customWidth="1" collapsed="1"/>
    <col min="36" max="38" width="9.140625" hidden="1" customWidth="1" outlineLevel="1"/>
    <col min="39" max="39" width="9.140625" customWidth="1" collapsed="1"/>
    <col min="40" max="42" width="9.140625" hidden="1" customWidth="1" outlineLevel="1"/>
    <col min="43" max="43" width="9.140625" customWidth="1" collapsed="1"/>
    <col min="44" max="46" width="9.140625" hidden="1" customWidth="1" outlineLevel="1"/>
    <col min="47" max="47" width="9.140625" customWidth="1" collapsed="1"/>
    <col min="48" max="50" width="9.140625" hidden="1" customWidth="1" outlineLevel="1"/>
    <col min="51" max="51" width="9.140625" customWidth="1" collapsed="1"/>
    <col min="52" max="54" width="9.140625" hidden="1" customWidth="1" outlineLevel="1"/>
    <col min="55" max="55" width="9.140625" customWidth="1" collapsed="1"/>
    <col min="56" max="58" width="9.140625" hidden="1" customWidth="1" outlineLevel="1"/>
    <col min="59" max="59" width="9.140625" customWidth="1" collapsed="1"/>
    <col min="60" max="62" width="9.140625" hidden="1" customWidth="1" outlineLevel="1"/>
    <col min="63" max="63" width="9.140625" customWidth="1" collapsed="1"/>
    <col min="64" max="65" width="10.140625" customWidth="1"/>
    <col min="66" max="66" width="9.140625" customWidth="1"/>
    <col min="67" max="67" width="11.140625" customWidth="1"/>
    <col min="68" max="70" width="9.140625" bestFit="1" customWidth="1"/>
    <col min="71" max="71" width="12.42578125" customWidth="1"/>
    <col min="72" max="72" width="9.140625" bestFit="1" customWidth="1"/>
    <col min="73" max="73" width="12.85546875" customWidth="1"/>
    <col min="74" max="74" width="11.5703125" customWidth="1"/>
    <col min="75" max="75" width="9.140625" customWidth="1"/>
    <col min="76" max="76" width="9.140625" bestFit="1" customWidth="1"/>
    <col min="77" max="77" width="10.5703125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  <c r="L1" t="s">
        <v>3</v>
      </c>
      <c r="M1" t="s">
        <v>4</v>
      </c>
      <c r="N1" t="s">
        <v>5</v>
      </c>
      <c r="O1" t="s">
        <v>8</v>
      </c>
      <c r="P1" t="s">
        <v>3</v>
      </c>
      <c r="Q1" t="s">
        <v>4</v>
      </c>
      <c r="R1" t="s">
        <v>5</v>
      </c>
      <c r="S1" t="s">
        <v>9</v>
      </c>
      <c r="T1" t="s">
        <v>3</v>
      </c>
      <c r="U1" t="s">
        <v>4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14</v>
      </c>
      <c r="AE1" t="s">
        <v>18</v>
      </c>
      <c r="AF1" t="s">
        <v>3</v>
      </c>
      <c r="AG1" t="s">
        <v>19</v>
      </c>
      <c r="AH1" t="s">
        <v>20</v>
      </c>
      <c r="AI1" t="s">
        <v>21</v>
      </c>
      <c r="AJ1" t="s">
        <v>3</v>
      </c>
      <c r="AK1" t="s">
        <v>19</v>
      </c>
      <c r="AL1" t="s">
        <v>14</v>
      </c>
      <c r="AM1" t="s">
        <v>22</v>
      </c>
      <c r="AN1" t="s">
        <v>3</v>
      </c>
      <c r="AO1" t="s">
        <v>19</v>
      </c>
      <c r="AP1" t="s">
        <v>14</v>
      </c>
      <c r="AQ1" t="s">
        <v>23</v>
      </c>
      <c r="AR1" t="s">
        <v>3</v>
      </c>
      <c r="AS1" t="s">
        <v>19</v>
      </c>
      <c r="AT1" t="s">
        <v>14</v>
      </c>
      <c r="AU1" t="s">
        <v>24</v>
      </c>
      <c r="AV1" t="s">
        <v>3</v>
      </c>
      <c r="AW1" t="s">
        <v>19</v>
      </c>
      <c r="AX1" t="s">
        <v>14</v>
      </c>
      <c r="AY1" t="s">
        <v>25</v>
      </c>
      <c r="AZ1" t="s">
        <v>3</v>
      </c>
      <c r="BA1" t="s">
        <v>19</v>
      </c>
      <c r="BB1" t="s">
        <v>14</v>
      </c>
      <c r="BC1" t="s">
        <v>26</v>
      </c>
      <c r="BD1" t="s">
        <v>3</v>
      </c>
      <c r="BE1" t="s">
        <v>19</v>
      </c>
      <c r="BF1" t="s">
        <v>14</v>
      </c>
      <c r="BG1" t="s">
        <v>27</v>
      </c>
      <c r="BH1" t="s">
        <v>3</v>
      </c>
      <c r="BI1" t="s">
        <v>19</v>
      </c>
      <c r="BJ1" t="s">
        <v>14</v>
      </c>
      <c r="BK1" t="s">
        <v>28</v>
      </c>
      <c r="BL1" s="4" t="s">
        <v>29</v>
      </c>
      <c r="BM1" s="4" t="s">
        <v>30</v>
      </c>
      <c r="BN1" s="4" t="s">
        <v>31</v>
      </c>
      <c r="BO1" s="5" t="s">
        <v>32</v>
      </c>
      <c r="BP1" s="4" t="s">
        <v>33</v>
      </c>
      <c r="BQ1" s="4" t="s">
        <v>34</v>
      </c>
      <c r="BR1" s="4" t="s">
        <v>35</v>
      </c>
      <c r="BS1" s="4" t="s">
        <v>36</v>
      </c>
      <c r="BT1" s="4" t="s">
        <v>37</v>
      </c>
      <c r="BU1" s="4" t="s">
        <v>43</v>
      </c>
      <c r="BV1" s="4" t="s">
        <v>39</v>
      </c>
      <c r="BW1" s="4" t="s">
        <v>40</v>
      </c>
      <c r="BX1" s="4" t="s">
        <v>41</v>
      </c>
      <c r="BY1" s="6" t="s">
        <v>29</v>
      </c>
      <c r="BZ1" s="6" t="s">
        <v>30</v>
      </c>
      <c r="CA1" s="6" t="s">
        <v>31</v>
      </c>
      <c r="CB1" s="7" t="s">
        <v>32</v>
      </c>
      <c r="CC1" s="6" t="s">
        <v>33</v>
      </c>
      <c r="CD1" s="6" t="s">
        <v>42</v>
      </c>
      <c r="CE1" s="6" t="s">
        <v>43</v>
      </c>
      <c r="CF1" s="6" t="s">
        <v>39</v>
      </c>
      <c r="CG1" s="6" t="s">
        <v>41</v>
      </c>
      <c r="CI1" s="4"/>
      <c r="CJ1" t="s">
        <v>44</v>
      </c>
    </row>
    <row r="2" spans="1:88" x14ac:dyDescent="0.25">
      <c r="A2" t="s">
        <v>45</v>
      </c>
      <c r="B2">
        <v>1</v>
      </c>
      <c r="C2" s="2" t="s">
        <v>46</v>
      </c>
      <c r="D2">
        <v>2.9</v>
      </c>
      <c r="E2">
        <v>8.5</v>
      </c>
      <c r="F2">
        <v>0.8</v>
      </c>
      <c r="G2" t="s">
        <v>47</v>
      </c>
      <c r="H2">
        <v>95</v>
      </c>
      <c r="I2">
        <v>95.9</v>
      </c>
      <c r="J2">
        <v>90.2</v>
      </c>
      <c r="K2" t="s">
        <v>48</v>
      </c>
      <c r="L2">
        <v>1010</v>
      </c>
      <c r="M2">
        <v>1005</v>
      </c>
      <c r="N2">
        <v>1014</v>
      </c>
      <c r="O2">
        <v>1027</v>
      </c>
      <c r="P2">
        <v>3.9</v>
      </c>
      <c r="Q2">
        <v>2</v>
      </c>
      <c r="R2">
        <v>4.4000000000000004</v>
      </c>
      <c r="S2">
        <v>2.4</v>
      </c>
      <c r="X2">
        <v>28.7</v>
      </c>
      <c r="Y2">
        <v>22.7</v>
      </c>
      <c r="Z2">
        <v>20.100000000000001</v>
      </c>
      <c r="AA2" t="s">
        <v>49</v>
      </c>
      <c r="AB2">
        <v>18.2</v>
      </c>
      <c r="AC2">
        <v>12</v>
      </c>
      <c r="AD2">
        <v>14.4</v>
      </c>
      <c r="AE2" t="s">
        <v>50</v>
      </c>
      <c r="AI2">
        <v>18</v>
      </c>
      <c r="AJ2">
        <v>14.6</v>
      </c>
      <c r="AK2">
        <v>22.7</v>
      </c>
      <c r="AL2">
        <v>9.6</v>
      </c>
      <c r="AM2">
        <v>23.2</v>
      </c>
      <c r="AN2">
        <v>1.8</v>
      </c>
      <c r="AO2">
        <v>11.3</v>
      </c>
      <c r="AP2">
        <v>1.4</v>
      </c>
      <c r="AQ2">
        <v>7.9</v>
      </c>
      <c r="AR2">
        <v>17.399999999999999</v>
      </c>
      <c r="AS2">
        <v>40</v>
      </c>
      <c r="AT2">
        <v>11.7</v>
      </c>
      <c r="AU2">
        <v>35.299999999999997</v>
      </c>
      <c r="AV2">
        <v>1.6</v>
      </c>
      <c r="AW2">
        <v>1.4</v>
      </c>
      <c r="AX2">
        <v>1.4</v>
      </c>
      <c r="AY2">
        <v>3.4</v>
      </c>
      <c r="AZ2">
        <v>0.5</v>
      </c>
      <c r="BA2">
        <v>0.6</v>
      </c>
      <c r="BB2">
        <v>0.4</v>
      </c>
      <c r="BC2">
        <v>0.5</v>
      </c>
      <c r="BD2">
        <v>1.7</v>
      </c>
      <c r="BE2">
        <v>1</v>
      </c>
      <c r="BF2">
        <v>0.9</v>
      </c>
      <c r="BG2">
        <v>1.1000000000000001</v>
      </c>
      <c r="BH2">
        <v>24.6</v>
      </c>
      <c r="BI2">
        <v>23.2</v>
      </c>
      <c r="BJ2">
        <v>21.4</v>
      </c>
      <c r="BK2">
        <v>23.4</v>
      </c>
      <c r="BL2" t="s">
        <v>51</v>
      </c>
      <c r="BM2" t="s">
        <v>52</v>
      </c>
      <c r="BN2" s="11">
        <v>0.3594</v>
      </c>
      <c r="BO2" t="s">
        <v>53</v>
      </c>
      <c r="BP2" s="11">
        <v>5.2699999999999997E-2</v>
      </c>
      <c r="BQ2" t="s">
        <v>54</v>
      </c>
      <c r="BR2" t="s">
        <v>54</v>
      </c>
      <c r="BS2" t="s">
        <v>54</v>
      </c>
      <c r="BT2">
        <v>0</v>
      </c>
      <c r="BU2">
        <v>6.55</v>
      </c>
      <c r="BV2">
        <v>0</v>
      </c>
      <c r="BW2">
        <v>0</v>
      </c>
      <c r="BX2">
        <v>0</v>
      </c>
      <c r="BY2" t="s">
        <v>55</v>
      </c>
      <c r="BZ2" t="s">
        <v>56</v>
      </c>
      <c r="CA2" s="11">
        <v>4.0000000000000002E-4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I2" s="6"/>
      <c r="CJ2" t="s">
        <v>57</v>
      </c>
    </row>
    <row r="3" spans="1:88" x14ac:dyDescent="0.25">
      <c r="A3" t="s">
        <v>58</v>
      </c>
      <c r="B3">
        <v>1</v>
      </c>
      <c r="C3" t="s">
        <v>59</v>
      </c>
      <c r="D3">
        <v>-1.9</v>
      </c>
      <c r="E3">
        <v>-2.2999999999999998</v>
      </c>
      <c r="F3">
        <v>-2.4</v>
      </c>
      <c r="G3" t="s">
        <v>60</v>
      </c>
      <c r="H3">
        <v>94.1</v>
      </c>
      <c r="I3">
        <v>92.4</v>
      </c>
      <c r="J3">
        <v>85.7</v>
      </c>
      <c r="K3" t="s">
        <v>61</v>
      </c>
      <c r="L3">
        <v>1009</v>
      </c>
      <c r="M3">
        <v>1007</v>
      </c>
      <c r="N3">
        <v>1000</v>
      </c>
      <c r="O3">
        <v>1004</v>
      </c>
      <c r="P3">
        <v>1.7</v>
      </c>
      <c r="Q3">
        <v>3.2</v>
      </c>
      <c r="R3">
        <v>3.7</v>
      </c>
      <c r="S3">
        <v>1.9</v>
      </c>
      <c r="X3">
        <v>8</v>
      </c>
      <c r="Y3" s="8">
        <v>33.799999999999997</v>
      </c>
      <c r="Z3" s="8">
        <v>30.4</v>
      </c>
      <c r="AA3" t="s">
        <v>62</v>
      </c>
      <c r="AB3">
        <v>11.1</v>
      </c>
      <c r="AC3">
        <v>30.8</v>
      </c>
      <c r="AD3">
        <v>34.1</v>
      </c>
      <c r="AE3" t="s">
        <v>63</v>
      </c>
      <c r="AI3">
        <v>16</v>
      </c>
      <c r="AJ3">
        <v>11.9</v>
      </c>
      <c r="AK3">
        <v>34.299999999999997</v>
      </c>
      <c r="AL3">
        <v>23.2</v>
      </c>
      <c r="AM3">
        <v>20.9</v>
      </c>
      <c r="AN3">
        <v>2.1</v>
      </c>
      <c r="AO3">
        <v>60.2</v>
      </c>
      <c r="AP3">
        <v>11.9</v>
      </c>
      <c r="AQ3">
        <v>4.2</v>
      </c>
      <c r="AR3">
        <v>15.2</v>
      </c>
      <c r="AS3">
        <v>126.6</v>
      </c>
      <c r="AT3">
        <v>41.4</v>
      </c>
      <c r="AU3">
        <v>27.4</v>
      </c>
      <c r="AV3">
        <v>4.8</v>
      </c>
      <c r="AW3">
        <v>6.7</v>
      </c>
      <c r="AX3">
        <v>8</v>
      </c>
      <c r="AY3">
        <v>7.1</v>
      </c>
      <c r="AZ3">
        <v>0.3</v>
      </c>
      <c r="BA3">
        <v>0.7</v>
      </c>
      <c r="BB3">
        <v>0.5</v>
      </c>
      <c r="BC3">
        <v>0.4</v>
      </c>
      <c r="BD3">
        <v>0.2</v>
      </c>
      <c r="BE3">
        <v>0.5</v>
      </c>
      <c r="BF3">
        <v>0.8</v>
      </c>
      <c r="BG3">
        <v>0.6</v>
      </c>
      <c r="BH3">
        <v>49.1</v>
      </c>
      <c r="BI3">
        <v>18.100000000000001</v>
      </c>
      <c r="BJ3">
        <v>18.8</v>
      </c>
      <c r="BK3">
        <v>26.2</v>
      </c>
      <c r="BL3" t="s">
        <v>64</v>
      </c>
      <c r="BM3" t="s">
        <v>65</v>
      </c>
      <c r="BN3" s="11">
        <v>0.1578</v>
      </c>
      <c r="BO3" t="s">
        <v>65</v>
      </c>
      <c r="BP3" s="11">
        <v>0.1578</v>
      </c>
      <c r="BQ3" t="s">
        <v>54</v>
      </c>
      <c r="BR3" t="s">
        <v>54</v>
      </c>
      <c r="BS3" t="s">
        <v>54</v>
      </c>
      <c r="BT3">
        <v>0</v>
      </c>
      <c r="BU3">
        <v>6.55</v>
      </c>
      <c r="BV3">
        <v>0</v>
      </c>
      <c r="BW3">
        <v>0</v>
      </c>
      <c r="BX3">
        <v>0</v>
      </c>
      <c r="BY3" t="s">
        <v>54</v>
      </c>
      <c r="BZ3" t="s">
        <v>66</v>
      </c>
      <c r="CB3" t="s">
        <v>67</v>
      </c>
      <c r="CD3">
        <v>0</v>
      </c>
      <c r="CE3" t="s">
        <v>68</v>
      </c>
      <c r="CF3">
        <v>0</v>
      </c>
      <c r="CG3">
        <v>0</v>
      </c>
    </row>
    <row r="4" spans="1:88" x14ac:dyDescent="0.25">
      <c r="A4" t="s">
        <v>69</v>
      </c>
      <c r="B4">
        <v>1</v>
      </c>
      <c r="C4" t="s">
        <v>70</v>
      </c>
      <c r="D4">
        <v>-1.9</v>
      </c>
      <c r="E4">
        <v>-2.2999999999999998</v>
      </c>
      <c r="F4">
        <v>-2.4</v>
      </c>
      <c r="G4" t="s">
        <v>71</v>
      </c>
      <c r="H4">
        <v>94.1</v>
      </c>
      <c r="I4">
        <v>92.4</v>
      </c>
      <c r="J4">
        <v>85.7</v>
      </c>
      <c r="K4" t="s">
        <v>72</v>
      </c>
      <c r="L4">
        <v>1009</v>
      </c>
      <c r="M4">
        <v>1007</v>
      </c>
      <c r="N4">
        <v>1000</v>
      </c>
      <c r="O4">
        <v>1004</v>
      </c>
      <c r="P4">
        <v>1.7</v>
      </c>
      <c r="Q4">
        <v>3.2</v>
      </c>
      <c r="R4">
        <v>3.7</v>
      </c>
      <c r="S4">
        <v>1.9</v>
      </c>
      <c r="X4">
        <v>11.1</v>
      </c>
      <c r="Y4">
        <v>32.1</v>
      </c>
      <c r="Z4">
        <v>34.299999999999997</v>
      </c>
      <c r="AA4" t="s">
        <v>73</v>
      </c>
      <c r="AB4" s="8">
        <v>6.3</v>
      </c>
      <c r="AC4" s="8">
        <v>29.7</v>
      </c>
      <c r="AD4" s="8">
        <v>27.4</v>
      </c>
      <c r="AE4" s="8" t="s">
        <v>74</v>
      </c>
      <c r="AI4">
        <v>16</v>
      </c>
      <c r="AJ4" s="8">
        <v>7.4</v>
      </c>
      <c r="AK4" s="8">
        <v>29</v>
      </c>
      <c r="AL4" s="8">
        <v>16.5</v>
      </c>
      <c r="AM4" s="8">
        <v>19.7</v>
      </c>
      <c r="AN4" s="8">
        <v>1</v>
      </c>
      <c r="AO4" s="8">
        <v>13.4</v>
      </c>
      <c r="AP4" s="8">
        <v>3.7</v>
      </c>
      <c r="AQ4" s="8">
        <v>2.2999999999999998</v>
      </c>
      <c r="AR4" s="8">
        <v>8.9</v>
      </c>
      <c r="AS4" s="8">
        <v>49.5</v>
      </c>
      <c r="AT4" s="8">
        <v>22.1</v>
      </c>
      <c r="AU4" s="8">
        <v>23.2</v>
      </c>
      <c r="AV4">
        <v>2.4</v>
      </c>
      <c r="AW4">
        <v>2.1</v>
      </c>
      <c r="AX4">
        <v>1.4</v>
      </c>
      <c r="AY4">
        <v>2.5</v>
      </c>
      <c r="AZ4" s="8">
        <v>0.3</v>
      </c>
      <c r="BA4" s="8">
        <v>0.6</v>
      </c>
      <c r="BB4" s="8">
        <v>0.4</v>
      </c>
      <c r="BC4" s="8">
        <v>0.4</v>
      </c>
      <c r="BD4" s="8">
        <v>0.3</v>
      </c>
      <c r="BE4" s="8">
        <v>1.5</v>
      </c>
      <c r="BF4" s="8">
        <v>1.7</v>
      </c>
      <c r="BG4" s="8">
        <v>1.2</v>
      </c>
      <c r="BH4" s="8">
        <v>49.1</v>
      </c>
      <c r="BI4" s="8">
        <v>18.100000000000001</v>
      </c>
      <c r="BJ4" s="8">
        <v>18.8</v>
      </c>
      <c r="BK4" s="8">
        <v>26.2</v>
      </c>
      <c r="BL4" t="s">
        <v>75</v>
      </c>
      <c r="BM4" t="s">
        <v>65</v>
      </c>
      <c r="BN4" s="11">
        <v>9.0999999999999998E-2</v>
      </c>
      <c r="BO4" t="s">
        <v>76</v>
      </c>
      <c r="BP4" s="11">
        <v>6.0600000000000001E-2</v>
      </c>
      <c r="BQ4" t="s">
        <v>54</v>
      </c>
      <c r="BR4" t="s">
        <v>54</v>
      </c>
      <c r="BS4" t="s">
        <v>54</v>
      </c>
      <c r="BT4">
        <v>0</v>
      </c>
      <c r="BU4">
        <v>6.55</v>
      </c>
      <c r="BV4">
        <v>0</v>
      </c>
      <c r="BW4">
        <v>0</v>
      </c>
      <c r="BX4">
        <v>0</v>
      </c>
      <c r="BY4" t="s">
        <v>54</v>
      </c>
      <c r="BZ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8" x14ac:dyDescent="0.25">
      <c r="A5" t="s">
        <v>58</v>
      </c>
      <c r="B5">
        <v>2</v>
      </c>
      <c r="C5" t="s">
        <v>77</v>
      </c>
      <c r="D5">
        <v>4.8</v>
      </c>
      <c r="E5">
        <v>5.2</v>
      </c>
      <c r="F5">
        <v>3.2</v>
      </c>
      <c r="G5" t="s">
        <v>78</v>
      </c>
      <c r="H5">
        <v>82.4</v>
      </c>
      <c r="I5">
        <v>71.3</v>
      </c>
      <c r="J5">
        <v>84.6</v>
      </c>
      <c r="K5" t="s">
        <v>79</v>
      </c>
      <c r="L5">
        <v>1019</v>
      </c>
      <c r="M5">
        <v>1026</v>
      </c>
      <c r="N5">
        <v>1036</v>
      </c>
      <c r="O5">
        <v>1032</v>
      </c>
      <c r="P5">
        <v>5.0999999999999996</v>
      </c>
      <c r="Q5">
        <v>8.6999999999999993</v>
      </c>
      <c r="R5">
        <v>2.6</v>
      </c>
      <c r="S5">
        <v>2.5</v>
      </c>
      <c r="X5" s="9">
        <v>20.100000000000001</v>
      </c>
      <c r="Y5" s="9">
        <v>15.1</v>
      </c>
      <c r="Z5" s="9">
        <v>26.2</v>
      </c>
      <c r="AA5" s="9" t="s">
        <v>80</v>
      </c>
      <c r="AB5" s="9">
        <v>17.5</v>
      </c>
      <c r="AC5" s="9">
        <v>12.7</v>
      </c>
      <c r="AD5" s="9">
        <v>23.5</v>
      </c>
      <c r="AE5" s="9" t="s">
        <v>81</v>
      </c>
      <c r="AI5">
        <v>24</v>
      </c>
      <c r="AJ5" s="9">
        <v>18.2</v>
      </c>
      <c r="AK5" s="9">
        <v>6.6</v>
      </c>
      <c r="AL5" s="9">
        <v>15.4</v>
      </c>
      <c r="AM5" s="9">
        <v>33.9</v>
      </c>
      <c r="AN5" s="9">
        <v>2.7</v>
      </c>
      <c r="AO5" s="9">
        <v>1.4</v>
      </c>
      <c r="AP5" s="9">
        <v>1</v>
      </c>
      <c r="AQ5" s="9">
        <v>7.4</v>
      </c>
      <c r="AR5" s="9">
        <v>22.3</v>
      </c>
      <c r="AS5" s="9">
        <v>8.8000000000000007</v>
      </c>
      <c r="AT5" s="9">
        <v>17</v>
      </c>
      <c r="AU5" s="9">
        <v>45.3</v>
      </c>
      <c r="AV5" s="9">
        <v>18.399999999999999</v>
      </c>
      <c r="AW5" s="9">
        <v>14.7</v>
      </c>
      <c r="AX5" s="9">
        <v>2.5</v>
      </c>
      <c r="AY5" s="9">
        <v>4.5</v>
      </c>
      <c r="AZ5" s="9">
        <v>0.6</v>
      </c>
      <c r="BA5" s="9">
        <v>0.6</v>
      </c>
      <c r="BB5" s="9">
        <v>0.7</v>
      </c>
      <c r="BC5" s="9">
        <v>0.8</v>
      </c>
      <c r="BD5" s="9">
        <v>0.2</v>
      </c>
      <c r="BE5" s="9">
        <v>0.1</v>
      </c>
      <c r="BF5" s="9">
        <v>0.2</v>
      </c>
      <c r="BG5" s="9">
        <v>0.5</v>
      </c>
      <c r="BH5" s="9">
        <v>54.4</v>
      </c>
      <c r="BI5" s="9">
        <v>65.599999999999994</v>
      </c>
      <c r="BJ5" s="9">
        <v>45.6</v>
      </c>
      <c r="BK5" s="9">
        <v>24.8</v>
      </c>
      <c r="BL5" t="s">
        <v>82</v>
      </c>
      <c r="BM5" t="s">
        <v>76</v>
      </c>
      <c r="BN5" s="11">
        <v>9.5299999999999996E-2</v>
      </c>
      <c r="BO5">
        <v>0</v>
      </c>
      <c r="BP5" s="12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s="19" t="s">
        <v>83</v>
      </c>
      <c r="BZ5">
        <v>0</v>
      </c>
      <c r="CA5" s="12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8" x14ac:dyDescent="0.25">
      <c r="A6" t="s">
        <v>45</v>
      </c>
      <c r="B6">
        <v>2</v>
      </c>
      <c r="C6" t="s">
        <v>84</v>
      </c>
      <c r="D6">
        <v>5.2</v>
      </c>
      <c r="E6">
        <v>3.2</v>
      </c>
      <c r="F6">
        <v>2.7</v>
      </c>
      <c r="G6" t="s">
        <v>85</v>
      </c>
      <c r="H6">
        <v>71.3</v>
      </c>
      <c r="I6">
        <v>84.6</v>
      </c>
      <c r="J6">
        <v>76</v>
      </c>
      <c r="K6" t="s">
        <v>86</v>
      </c>
      <c r="L6">
        <v>1026</v>
      </c>
      <c r="M6">
        <v>1036</v>
      </c>
      <c r="N6">
        <v>1032</v>
      </c>
      <c r="O6">
        <v>1029</v>
      </c>
      <c r="P6">
        <v>8.6999999999999993</v>
      </c>
      <c r="Q6">
        <v>2.6</v>
      </c>
      <c r="R6">
        <v>2.5</v>
      </c>
      <c r="S6">
        <v>2.2999999999999998</v>
      </c>
      <c r="X6" s="9">
        <v>19.2</v>
      </c>
      <c r="Y6" s="9">
        <v>20.6</v>
      </c>
      <c r="Z6" s="9">
        <v>33.299999999999997</v>
      </c>
      <c r="AA6" s="9" t="s">
        <v>87</v>
      </c>
      <c r="AB6" s="9">
        <v>7.7</v>
      </c>
      <c r="AC6" s="9">
        <v>15.6</v>
      </c>
      <c r="AD6" s="9">
        <v>31.4</v>
      </c>
      <c r="AE6" s="9" t="s">
        <v>88</v>
      </c>
      <c r="AI6">
        <v>19</v>
      </c>
      <c r="AJ6" s="9">
        <v>3.6</v>
      </c>
      <c r="AK6" s="9">
        <v>14.1</v>
      </c>
      <c r="AL6" s="9">
        <v>26.2</v>
      </c>
      <c r="AM6" s="9">
        <v>33.299999999999997</v>
      </c>
      <c r="AN6" s="9">
        <v>0.6</v>
      </c>
      <c r="AO6" s="9">
        <v>2.7</v>
      </c>
      <c r="AP6" s="9">
        <v>5</v>
      </c>
      <c r="AQ6" s="9">
        <v>6.9</v>
      </c>
      <c r="AR6" s="9">
        <v>4.5</v>
      </c>
      <c r="AS6" s="9">
        <v>18.100000000000001</v>
      </c>
      <c r="AT6" s="9">
        <v>33.799999999999997</v>
      </c>
      <c r="AU6" s="9">
        <v>43.8</v>
      </c>
      <c r="AV6" s="9">
        <v>1.7</v>
      </c>
      <c r="AW6" s="9">
        <v>2.4</v>
      </c>
      <c r="AX6" s="9">
        <v>3.4</v>
      </c>
      <c r="AY6" s="9">
        <v>3.7</v>
      </c>
      <c r="AZ6" s="9">
        <v>0.3</v>
      </c>
      <c r="BA6" s="9">
        <v>0.4</v>
      </c>
      <c r="BB6" s="9">
        <v>0.5</v>
      </c>
      <c r="BC6" s="9">
        <v>0.5</v>
      </c>
      <c r="BD6" s="9">
        <v>0.1</v>
      </c>
      <c r="BE6" s="9">
        <v>0.5</v>
      </c>
      <c r="BF6" s="9">
        <v>1.6</v>
      </c>
      <c r="BG6" s="9">
        <v>2</v>
      </c>
      <c r="BH6" s="9">
        <v>65.599999999999994</v>
      </c>
      <c r="BI6" s="9">
        <v>45.6</v>
      </c>
      <c r="BJ6" s="9">
        <v>24.8</v>
      </c>
      <c r="BK6" s="9">
        <v>23.3</v>
      </c>
      <c r="BL6" t="s">
        <v>89</v>
      </c>
      <c r="BM6" t="s">
        <v>90</v>
      </c>
      <c r="BN6" s="12">
        <v>0.56000000000000005</v>
      </c>
      <c r="BO6" t="s">
        <v>91</v>
      </c>
      <c r="BP6" s="11">
        <v>4.7600000000000003E-2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9.25</v>
      </c>
      <c r="BW6" s="11">
        <v>8.3999999999999995E-3</v>
      </c>
      <c r="BX6">
        <v>0</v>
      </c>
      <c r="BY6" s="19" t="s">
        <v>93</v>
      </c>
      <c r="BZ6" t="s">
        <v>94</v>
      </c>
      <c r="CA6" s="11">
        <v>1.04E-2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8" x14ac:dyDescent="0.25">
      <c r="A7" t="s">
        <v>69</v>
      </c>
      <c r="B7">
        <v>2</v>
      </c>
      <c r="C7" t="s">
        <v>95</v>
      </c>
      <c r="D7">
        <v>3.2</v>
      </c>
      <c r="E7">
        <v>2.7</v>
      </c>
      <c r="F7">
        <v>3.9</v>
      </c>
      <c r="G7" t="s">
        <v>96</v>
      </c>
      <c r="H7">
        <v>84.6</v>
      </c>
      <c r="I7">
        <v>76</v>
      </c>
      <c r="J7">
        <v>68.900000000000006</v>
      </c>
      <c r="K7" t="s">
        <v>97</v>
      </c>
      <c r="L7">
        <v>1036</v>
      </c>
      <c r="M7">
        <v>1032</v>
      </c>
      <c r="N7">
        <v>1029</v>
      </c>
      <c r="O7">
        <v>1028</v>
      </c>
      <c r="P7">
        <v>2.6</v>
      </c>
      <c r="Q7">
        <v>2.5</v>
      </c>
      <c r="R7">
        <v>2.2999999999999998</v>
      </c>
      <c r="S7">
        <v>4.4000000000000004</v>
      </c>
      <c r="X7" s="9">
        <v>20.6</v>
      </c>
      <c r="Y7" s="9">
        <v>33.299999999999997</v>
      </c>
      <c r="Z7" s="9">
        <v>35.200000000000003</v>
      </c>
      <c r="AA7" s="9" t="s">
        <v>98</v>
      </c>
      <c r="AB7" s="9">
        <v>15.6</v>
      </c>
      <c r="AC7" s="9">
        <v>31.4</v>
      </c>
      <c r="AD7" s="9">
        <v>30.5</v>
      </c>
      <c r="AE7" s="9" t="s">
        <v>99</v>
      </c>
      <c r="AI7">
        <v>15</v>
      </c>
      <c r="AJ7" s="9">
        <v>14.1</v>
      </c>
      <c r="AK7" s="9">
        <v>26.2</v>
      </c>
      <c r="AL7" s="9">
        <v>33.299999999999997</v>
      </c>
      <c r="AM7" s="9">
        <v>16.3</v>
      </c>
      <c r="AN7" s="9">
        <v>2.7</v>
      </c>
      <c r="AO7" s="9">
        <v>5</v>
      </c>
      <c r="AP7" s="9">
        <v>6.9</v>
      </c>
      <c r="AQ7" s="9">
        <v>1.2</v>
      </c>
      <c r="AR7" s="9">
        <v>18.100000000000001</v>
      </c>
      <c r="AS7" s="9">
        <v>33.799999999999997</v>
      </c>
      <c r="AT7" s="9">
        <v>43.8</v>
      </c>
      <c r="AU7" s="9">
        <v>18.2</v>
      </c>
      <c r="AV7" s="9">
        <v>2.4</v>
      </c>
      <c r="AW7" s="9">
        <v>3.4</v>
      </c>
      <c r="AX7" s="9">
        <v>3.7</v>
      </c>
      <c r="AY7" s="9">
        <v>2.4</v>
      </c>
      <c r="AZ7" s="9">
        <v>0.4</v>
      </c>
      <c r="BA7" s="9">
        <v>0.5</v>
      </c>
      <c r="BB7" s="9">
        <v>0.5</v>
      </c>
      <c r="BC7" s="9">
        <v>0.4</v>
      </c>
      <c r="BD7" s="9">
        <v>0.5</v>
      </c>
      <c r="BE7" s="9">
        <v>1.6</v>
      </c>
      <c r="BF7" s="9">
        <v>2</v>
      </c>
      <c r="BG7" s="9">
        <v>0.8</v>
      </c>
      <c r="BH7" s="9">
        <v>45.6</v>
      </c>
      <c r="BI7" s="9">
        <v>24.8</v>
      </c>
      <c r="BJ7" s="9">
        <v>23.3</v>
      </c>
      <c r="BK7" s="9">
        <v>47.6</v>
      </c>
      <c r="BL7" s="10" t="s">
        <v>100</v>
      </c>
      <c r="BM7" t="s">
        <v>101</v>
      </c>
      <c r="BN7" s="11">
        <v>5.1299999999999998E-2</v>
      </c>
      <c r="BO7" s="22" t="s">
        <v>76</v>
      </c>
      <c r="BP7" s="11">
        <v>5.1000000000000004E-3</v>
      </c>
      <c r="BQ7">
        <v>0</v>
      </c>
      <c r="BR7" t="s">
        <v>102</v>
      </c>
      <c r="BS7">
        <v>0</v>
      </c>
      <c r="BT7">
        <v>0</v>
      </c>
      <c r="BU7" t="s">
        <v>103</v>
      </c>
      <c r="BV7">
        <v>9.25</v>
      </c>
      <c r="BW7" s="11">
        <v>1.8E-3</v>
      </c>
      <c r="BX7">
        <v>0</v>
      </c>
      <c r="BY7" t="s">
        <v>54</v>
      </c>
      <c r="BZ7" t="s">
        <v>104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8" x14ac:dyDescent="0.25">
      <c r="A8" t="s">
        <v>58</v>
      </c>
      <c r="B8">
        <v>3</v>
      </c>
      <c r="C8" t="s">
        <v>105</v>
      </c>
      <c r="D8">
        <v>3.6</v>
      </c>
      <c r="E8">
        <v>0.9</v>
      </c>
      <c r="F8">
        <v>2.9</v>
      </c>
      <c r="G8" t="s">
        <v>106</v>
      </c>
      <c r="H8">
        <v>69.7</v>
      </c>
      <c r="I8">
        <v>74.5</v>
      </c>
      <c r="J8">
        <v>73.5</v>
      </c>
      <c r="K8" t="s">
        <v>107</v>
      </c>
      <c r="L8">
        <v>1021</v>
      </c>
      <c r="M8">
        <v>1021</v>
      </c>
      <c r="N8">
        <v>1023</v>
      </c>
      <c r="O8">
        <v>1022</v>
      </c>
      <c r="P8">
        <v>5.6</v>
      </c>
      <c r="Q8">
        <v>2.2999999999999998</v>
      </c>
      <c r="R8">
        <v>1.9</v>
      </c>
      <c r="S8">
        <v>1.6</v>
      </c>
      <c r="X8" s="9">
        <v>6.7</v>
      </c>
      <c r="Y8" s="9">
        <v>9.6999999999999993</v>
      </c>
      <c r="Z8" s="9">
        <v>27.2</v>
      </c>
      <c r="AA8" s="9" t="s">
        <v>108</v>
      </c>
      <c r="AB8" s="9">
        <v>5.8</v>
      </c>
      <c r="AC8" s="9">
        <v>8.4</v>
      </c>
      <c r="AD8" s="9">
        <v>21.7</v>
      </c>
      <c r="AE8" s="9" t="s">
        <v>109</v>
      </c>
      <c r="AI8">
        <v>27</v>
      </c>
      <c r="AJ8" s="9">
        <v>6.7</v>
      </c>
      <c r="AK8" s="9">
        <v>13.8</v>
      </c>
      <c r="AL8" s="9">
        <v>26.6</v>
      </c>
      <c r="AM8" s="9">
        <v>44.8</v>
      </c>
      <c r="AN8" s="9">
        <v>1.6</v>
      </c>
      <c r="AO8" s="9">
        <v>2.1</v>
      </c>
      <c r="AP8" s="9">
        <v>20.399999999999999</v>
      </c>
      <c r="AQ8" s="9">
        <v>33.6</v>
      </c>
      <c r="AR8" s="9">
        <v>9.1999999999999993</v>
      </c>
      <c r="AS8" s="9">
        <v>17</v>
      </c>
      <c r="AT8" s="9">
        <v>57.9</v>
      </c>
      <c r="AU8" s="9">
        <v>96.3</v>
      </c>
      <c r="AV8" s="9">
        <v>2.2999999999999998</v>
      </c>
      <c r="AW8" s="9">
        <v>3.6</v>
      </c>
      <c r="AX8" s="9">
        <v>4.4000000000000004</v>
      </c>
      <c r="AY8" s="9">
        <v>5.6</v>
      </c>
      <c r="AZ8" s="9">
        <v>0.1</v>
      </c>
      <c r="BA8" s="9">
        <v>0.2</v>
      </c>
      <c r="BB8" s="9">
        <v>0.3</v>
      </c>
      <c r="BC8" s="9">
        <v>0.5</v>
      </c>
      <c r="BD8" s="9">
        <v>0.1</v>
      </c>
      <c r="BE8" s="9">
        <v>0.1</v>
      </c>
      <c r="BF8" s="9">
        <v>0.2</v>
      </c>
      <c r="BG8" s="9">
        <v>0.5</v>
      </c>
      <c r="BH8" s="9">
        <v>66.099999999999994</v>
      </c>
      <c r="BI8" s="9">
        <v>58.7</v>
      </c>
      <c r="BJ8" s="9">
        <v>38.5</v>
      </c>
      <c r="BK8" s="9">
        <v>32.5</v>
      </c>
      <c r="BL8" t="s">
        <v>110</v>
      </c>
      <c r="BM8" t="s">
        <v>111</v>
      </c>
      <c r="BN8" s="11">
        <v>0.27289999999999998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8" x14ac:dyDescent="0.25">
      <c r="A9" t="s">
        <v>69</v>
      </c>
      <c r="B9">
        <v>3</v>
      </c>
      <c r="C9" t="s">
        <v>112</v>
      </c>
      <c r="D9">
        <v>3.6</v>
      </c>
      <c r="E9">
        <v>0.9</v>
      </c>
      <c r="F9">
        <v>2.9</v>
      </c>
      <c r="G9" t="s">
        <v>113</v>
      </c>
      <c r="H9">
        <v>69.7</v>
      </c>
      <c r="I9">
        <v>74.5</v>
      </c>
      <c r="J9">
        <v>73.5</v>
      </c>
      <c r="K9" t="s">
        <v>114</v>
      </c>
      <c r="L9">
        <v>1021</v>
      </c>
      <c r="M9">
        <v>1021</v>
      </c>
      <c r="N9">
        <v>1023</v>
      </c>
      <c r="O9">
        <v>1022</v>
      </c>
      <c r="P9">
        <v>5.6</v>
      </c>
      <c r="Q9">
        <v>2.2999999999999998</v>
      </c>
      <c r="R9">
        <v>1.9</v>
      </c>
      <c r="S9">
        <v>1.6</v>
      </c>
      <c r="X9" s="9">
        <v>8.1</v>
      </c>
      <c r="Y9" s="9">
        <v>27.8</v>
      </c>
      <c r="Z9" s="9">
        <v>20.6</v>
      </c>
      <c r="AA9" s="9" t="s">
        <v>115</v>
      </c>
      <c r="AB9" s="9">
        <v>6.1</v>
      </c>
      <c r="AC9" s="9">
        <v>7.9</v>
      </c>
      <c r="AD9" s="9">
        <v>18.5</v>
      </c>
      <c r="AE9" s="9" t="s">
        <v>116</v>
      </c>
      <c r="AI9">
        <v>24</v>
      </c>
      <c r="AJ9" s="20">
        <v>7.3</v>
      </c>
      <c r="AK9" s="9">
        <v>7.1</v>
      </c>
      <c r="AL9" s="9">
        <v>12.9</v>
      </c>
      <c r="AM9" s="9">
        <v>26.9</v>
      </c>
      <c r="AN9" s="9">
        <v>1.2</v>
      </c>
      <c r="AO9" s="9">
        <v>2</v>
      </c>
      <c r="AP9" s="9">
        <v>2.8</v>
      </c>
      <c r="AQ9" s="9">
        <v>4.4000000000000004</v>
      </c>
      <c r="AR9" s="9">
        <v>9.1</v>
      </c>
      <c r="AS9" s="9">
        <v>10.199999999999999</v>
      </c>
      <c r="AT9" s="9">
        <v>17.2</v>
      </c>
      <c r="AU9" s="9">
        <v>33.6</v>
      </c>
      <c r="AV9" s="9">
        <v>1.8</v>
      </c>
      <c r="AW9" s="9">
        <v>1.3</v>
      </c>
      <c r="AX9" s="9">
        <v>1.4</v>
      </c>
      <c r="AY9" s="9">
        <v>4</v>
      </c>
      <c r="AZ9" s="9">
        <v>0.3</v>
      </c>
      <c r="BA9" s="9">
        <v>0.3</v>
      </c>
      <c r="BB9" s="9">
        <v>0.4</v>
      </c>
      <c r="BC9" s="9">
        <v>0.5</v>
      </c>
      <c r="BD9" s="9">
        <v>0.1</v>
      </c>
      <c r="BE9" s="9">
        <v>0.2</v>
      </c>
      <c r="BF9" s="9">
        <v>0.7</v>
      </c>
      <c r="BG9" s="9">
        <v>1.8</v>
      </c>
      <c r="BH9" s="9">
        <v>66.099999999999994</v>
      </c>
      <c r="BI9" s="9">
        <v>58.7</v>
      </c>
      <c r="BJ9" s="9">
        <v>38.5</v>
      </c>
      <c r="BK9" s="9">
        <v>32.5</v>
      </c>
      <c r="BL9" t="s">
        <v>117</v>
      </c>
      <c r="BM9" t="s">
        <v>118</v>
      </c>
      <c r="BN9" s="11">
        <v>8.5400000000000004E-2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9.25</v>
      </c>
      <c r="BV9">
        <v>9.25</v>
      </c>
      <c r="BW9" s="11">
        <v>7.4999999999999997E-3</v>
      </c>
      <c r="BX9">
        <v>0</v>
      </c>
      <c r="BY9" t="s">
        <v>119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8" x14ac:dyDescent="0.25">
      <c r="A10" t="s">
        <v>45</v>
      </c>
      <c r="B10">
        <v>3</v>
      </c>
      <c r="C10" t="s">
        <v>120</v>
      </c>
      <c r="D10">
        <v>5.7</v>
      </c>
      <c r="E10">
        <v>4.5999999999999996</v>
      </c>
      <c r="F10">
        <v>5.4</v>
      </c>
      <c r="G10" t="s">
        <v>121</v>
      </c>
      <c r="H10">
        <v>95.5</v>
      </c>
      <c r="I10">
        <v>85.5</v>
      </c>
      <c r="J10">
        <v>86.4</v>
      </c>
      <c r="K10" t="s">
        <v>122</v>
      </c>
      <c r="L10">
        <v>1004</v>
      </c>
      <c r="M10">
        <v>1002</v>
      </c>
      <c r="N10">
        <v>1002</v>
      </c>
      <c r="O10">
        <v>1003</v>
      </c>
      <c r="P10">
        <v>3.6</v>
      </c>
      <c r="Q10">
        <v>3.8</v>
      </c>
      <c r="R10">
        <v>3</v>
      </c>
      <c r="S10">
        <v>4.5999999999999996</v>
      </c>
      <c r="X10" s="9">
        <v>10.6</v>
      </c>
      <c r="Y10" s="9">
        <v>9.8000000000000007</v>
      </c>
      <c r="Z10" s="9">
        <v>10.1</v>
      </c>
      <c r="AA10" s="9" t="s">
        <v>123</v>
      </c>
      <c r="AB10" s="9">
        <v>9.1999999999999993</v>
      </c>
      <c r="AC10" s="9">
        <v>9</v>
      </c>
      <c r="AD10" s="9">
        <v>9</v>
      </c>
      <c r="AE10" s="9" t="s">
        <v>124</v>
      </c>
      <c r="AI10">
        <v>11</v>
      </c>
      <c r="AJ10" s="9">
        <v>10.8</v>
      </c>
      <c r="AK10" s="9">
        <v>14</v>
      </c>
      <c r="AL10" s="9">
        <v>19.100000000000001</v>
      </c>
      <c r="AM10" s="9">
        <v>17.5</v>
      </c>
      <c r="AN10" s="9">
        <v>0.6</v>
      </c>
      <c r="AO10" s="9">
        <v>1.5</v>
      </c>
      <c r="AP10" s="9">
        <v>3.4</v>
      </c>
      <c r="AQ10" s="9">
        <v>5.3</v>
      </c>
      <c r="AR10" s="9">
        <v>11.7</v>
      </c>
      <c r="AS10" s="9">
        <v>15.9</v>
      </c>
      <c r="AT10" s="9">
        <v>23.8</v>
      </c>
      <c r="AU10" s="9">
        <v>25.2</v>
      </c>
      <c r="AV10" s="9">
        <v>1.4</v>
      </c>
      <c r="AW10" s="9">
        <v>1.5</v>
      </c>
      <c r="AX10" s="9">
        <v>1.8</v>
      </c>
      <c r="AY10" s="9">
        <v>2.4</v>
      </c>
      <c r="AZ10" s="9">
        <v>0.3</v>
      </c>
      <c r="BA10" s="9">
        <v>0.3</v>
      </c>
      <c r="BB10" s="9">
        <v>0.4</v>
      </c>
      <c r="BC10" s="9">
        <v>0.4</v>
      </c>
      <c r="BD10" s="9">
        <v>0.2</v>
      </c>
      <c r="BE10" s="9">
        <v>0.3</v>
      </c>
      <c r="BF10" s="9">
        <v>0.4</v>
      </c>
      <c r="BG10" s="9">
        <v>1.1000000000000001</v>
      </c>
      <c r="BH10" s="9">
        <v>56.8</v>
      </c>
      <c r="BI10" s="9">
        <v>57.1</v>
      </c>
      <c r="BJ10" s="9">
        <v>43.7</v>
      </c>
      <c r="BK10" s="9">
        <v>45.5</v>
      </c>
      <c r="BL10" t="s">
        <v>125</v>
      </c>
      <c r="BM10" t="s">
        <v>126</v>
      </c>
      <c r="BN10" s="11">
        <v>0.20469999999999999</v>
      </c>
      <c r="BO10" t="s">
        <v>111</v>
      </c>
      <c r="BP10" s="11">
        <v>3.0700000000000002E-2</v>
      </c>
      <c r="BQ10">
        <v>0</v>
      </c>
      <c r="BR10">
        <v>4.57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127</v>
      </c>
      <c r="BZ10" t="s">
        <v>128</v>
      </c>
      <c r="CA10" s="11">
        <v>4.2900000000000001E-2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8" x14ac:dyDescent="0.25">
      <c r="A11" t="s">
        <v>58</v>
      </c>
      <c r="B11">
        <v>4</v>
      </c>
      <c r="C11" t="s">
        <v>129</v>
      </c>
      <c r="D11">
        <v>18</v>
      </c>
      <c r="E11">
        <v>17.3</v>
      </c>
      <c r="F11">
        <v>17.399999999999999</v>
      </c>
      <c r="G11" t="s">
        <v>130</v>
      </c>
      <c r="H11">
        <v>40.200000000000003</v>
      </c>
      <c r="I11">
        <v>56.3</v>
      </c>
      <c r="J11">
        <v>70.599999999999994</v>
      </c>
      <c r="K11" t="s">
        <v>131</v>
      </c>
      <c r="L11">
        <v>1014</v>
      </c>
      <c r="M11">
        <v>1012</v>
      </c>
      <c r="N11">
        <v>1011</v>
      </c>
      <c r="O11">
        <v>1012</v>
      </c>
      <c r="P11">
        <v>6.1</v>
      </c>
      <c r="Q11">
        <v>3.8</v>
      </c>
      <c r="R11">
        <v>2.6</v>
      </c>
      <c r="S11">
        <v>2.8</v>
      </c>
      <c r="X11" s="9">
        <v>38.6</v>
      </c>
      <c r="Y11" s="9">
        <v>18.899999999999999</v>
      </c>
      <c r="Z11" s="9">
        <v>13.4</v>
      </c>
      <c r="AA11" s="9" t="s">
        <v>132</v>
      </c>
      <c r="AB11" s="9">
        <v>12.6</v>
      </c>
      <c r="AC11" s="9">
        <v>9.9</v>
      </c>
      <c r="AD11" s="9">
        <v>9.6999999999999993</v>
      </c>
      <c r="AE11" s="9" t="s">
        <v>133</v>
      </c>
      <c r="AI11">
        <v>10</v>
      </c>
      <c r="AJ11" s="9">
        <v>13.4</v>
      </c>
      <c r="AK11" s="9">
        <v>14</v>
      </c>
      <c r="AL11" s="9">
        <v>15.5</v>
      </c>
      <c r="AM11" s="9">
        <v>17.100000000000001</v>
      </c>
      <c r="AN11" s="9">
        <v>1.7</v>
      </c>
      <c r="AO11" s="9">
        <v>2</v>
      </c>
      <c r="AP11" s="9">
        <v>4.8</v>
      </c>
      <c r="AQ11" s="9">
        <v>3.5</v>
      </c>
      <c r="AR11" s="9">
        <v>16.100000000000001</v>
      </c>
      <c r="AS11" s="9">
        <v>17.100000000000001</v>
      </c>
      <c r="AT11" s="9">
        <v>22.9</v>
      </c>
      <c r="AU11" s="9">
        <v>22.4</v>
      </c>
      <c r="AV11" s="9">
        <v>4.8</v>
      </c>
      <c r="AW11" s="9">
        <v>15.8</v>
      </c>
      <c r="AX11" s="9">
        <v>12.8</v>
      </c>
      <c r="AY11" s="9">
        <v>17.8</v>
      </c>
      <c r="AZ11" s="9">
        <v>0.4</v>
      </c>
      <c r="BA11" s="9">
        <v>0.4</v>
      </c>
      <c r="BB11" s="9">
        <v>0.4</v>
      </c>
      <c r="BC11" s="9">
        <v>0.4</v>
      </c>
      <c r="BD11" s="9">
        <v>0.1</v>
      </c>
      <c r="BE11" s="9">
        <v>0.3</v>
      </c>
      <c r="BF11" s="9">
        <v>0.3</v>
      </c>
      <c r="BG11" s="9">
        <v>0.3</v>
      </c>
      <c r="BH11" s="9">
        <v>87.5</v>
      </c>
      <c r="BI11" s="9">
        <v>68.3</v>
      </c>
      <c r="BJ11" s="9">
        <v>64.7</v>
      </c>
      <c r="BK11" s="9">
        <v>57</v>
      </c>
      <c r="BL11" t="s">
        <v>134</v>
      </c>
      <c r="BM11" t="s">
        <v>135</v>
      </c>
      <c r="BN11" s="11">
        <v>9.2100000000000001E-2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4.57</v>
      </c>
      <c r="BW11" s="11">
        <v>4.5999999999999999E-3</v>
      </c>
      <c r="BX11">
        <v>0</v>
      </c>
      <c r="BY11" t="s">
        <v>54</v>
      </c>
      <c r="BZ11" t="s">
        <v>54</v>
      </c>
      <c r="CA11" t="s">
        <v>54</v>
      </c>
      <c r="CB11" t="s">
        <v>54</v>
      </c>
      <c r="CC11" t="s">
        <v>54</v>
      </c>
      <c r="CD11" t="s">
        <v>54</v>
      </c>
      <c r="CE11" t="s">
        <v>54</v>
      </c>
      <c r="CF11" t="s">
        <v>54</v>
      </c>
      <c r="CG11" t="s">
        <v>54</v>
      </c>
    </row>
    <row r="12" spans="1:88" x14ac:dyDescent="0.25">
      <c r="A12" t="s">
        <v>45</v>
      </c>
      <c r="B12">
        <v>4</v>
      </c>
      <c r="C12" t="s">
        <v>136</v>
      </c>
      <c r="D12">
        <v>21.1</v>
      </c>
      <c r="E12">
        <v>20.6</v>
      </c>
      <c r="F12">
        <v>16.7</v>
      </c>
      <c r="G12" t="s">
        <v>137</v>
      </c>
      <c r="H12">
        <v>58</v>
      </c>
      <c r="I12">
        <v>70.099999999999994</v>
      </c>
      <c r="J12">
        <v>86.5</v>
      </c>
      <c r="K12" t="s">
        <v>138</v>
      </c>
      <c r="L12">
        <v>1011</v>
      </c>
      <c r="M12">
        <v>1009</v>
      </c>
      <c r="N12">
        <v>1003</v>
      </c>
      <c r="O12">
        <v>1019</v>
      </c>
      <c r="P12" t="s">
        <v>139</v>
      </c>
      <c r="X12" s="9">
        <v>17.2</v>
      </c>
      <c r="Y12" s="9">
        <v>19.399999999999999</v>
      </c>
      <c r="Z12" s="9">
        <v>19.7</v>
      </c>
      <c r="AA12" s="9" t="s">
        <v>140</v>
      </c>
      <c r="AB12" s="9">
        <v>14.3</v>
      </c>
      <c r="AC12" s="9">
        <v>13.4</v>
      </c>
      <c r="AD12" s="9">
        <v>9.3000000000000007</v>
      </c>
      <c r="AE12" s="9" t="s">
        <v>141</v>
      </c>
      <c r="AI12">
        <v>9</v>
      </c>
      <c r="AJ12" s="9">
        <v>8.6999999999999993</v>
      </c>
      <c r="AK12" s="9">
        <v>9.1999999999999993</v>
      </c>
      <c r="AL12" s="9">
        <v>15</v>
      </c>
      <c r="AM12" s="9">
        <v>7.3</v>
      </c>
      <c r="AN12" s="9">
        <v>0.7</v>
      </c>
      <c r="AO12" s="9">
        <v>0.5</v>
      </c>
      <c r="AP12" s="9">
        <v>1.4</v>
      </c>
      <c r="AQ12" s="9">
        <v>1.7</v>
      </c>
      <c r="AR12" s="9">
        <v>9.4</v>
      </c>
      <c r="AS12" s="9">
        <v>9.6999999999999993</v>
      </c>
      <c r="AT12" s="9">
        <v>16.7</v>
      </c>
      <c r="AU12" s="9">
        <v>9.5</v>
      </c>
      <c r="AV12" s="9">
        <v>1.6</v>
      </c>
      <c r="AW12" s="9">
        <v>2</v>
      </c>
      <c r="AX12" s="9">
        <v>2.5</v>
      </c>
      <c r="AY12" s="9">
        <v>1.3</v>
      </c>
      <c r="AZ12" s="9">
        <v>0.2</v>
      </c>
      <c r="BA12" s="9">
        <v>0.2</v>
      </c>
      <c r="BB12" s="9">
        <v>0.2</v>
      </c>
      <c r="BC12" s="9">
        <v>0.2</v>
      </c>
      <c r="BD12" s="9">
        <v>0.1</v>
      </c>
      <c r="BE12" s="9">
        <v>0.2</v>
      </c>
      <c r="BF12" s="9">
        <v>0.5</v>
      </c>
      <c r="BG12" s="9">
        <v>0.5</v>
      </c>
      <c r="BH12">
        <v>86.6</v>
      </c>
      <c r="BI12">
        <v>79.5</v>
      </c>
      <c r="BJ12">
        <v>44.8</v>
      </c>
      <c r="BK12">
        <v>64.5</v>
      </c>
      <c r="BL12" t="s">
        <v>142</v>
      </c>
      <c r="BM12" t="s">
        <v>143</v>
      </c>
      <c r="BN12" s="11">
        <v>0.13200000000000001</v>
      </c>
      <c r="BO12">
        <v>0</v>
      </c>
      <c r="BP12">
        <v>0</v>
      </c>
      <c r="BQ12">
        <v>0</v>
      </c>
      <c r="BR12" t="s">
        <v>144</v>
      </c>
      <c r="BT12">
        <v>0</v>
      </c>
      <c r="BU12" t="s">
        <v>145</v>
      </c>
      <c r="BV12">
        <v>0</v>
      </c>
      <c r="BW12">
        <v>0</v>
      </c>
      <c r="BX12">
        <v>0</v>
      </c>
      <c r="BY12" t="s">
        <v>146</v>
      </c>
      <c r="BZ12" t="s">
        <v>104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8" x14ac:dyDescent="0.25">
      <c r="A13" t="s">
        <v>69</v>
      </c>
      <c r="B13">
        <v>4</v>
      </c>
      <c r="C13" t="s">
        <v>147</v>
      </c>
      <c r="D13">
        <v>21.1</v>
      </c>
      <c r="E13">
        <v>20.6</v>
      </c>
      <c r="F13">
        <v>16.7</v>
      </c>
      <c r="G13" t="s">
        <v>148</v>
      </c>
      <c r="H13">
        <v>58</v>
      </c>
      <c r="I13">
        <v>70.099999999999994</v>
      </c>
      <c r="J13">
        <v>86.5</v>
      </c>
      <c r="K13" t="s">
        <v>149</v>
      </c>
      <c r="L13">
        <v>1011</v>
      </c>
      <c r="M13">
        <v>1009</v>
      </c>
      <c r="N13">
        <v>1003</v>
      </c>
      <c r="O13">
        <v>1019</v>
      </c>
      <c r="P13" t="s">
        <v>139</v>
      </c>
      <c r="X13" s="9">
        <v>17.2</v>
      </c>
      <c r="Y13" s="9">
        <v>19.399999999999999</v>
      </c>
      <c r="Z13" s="9">
        <v>19.7</v>
      </c>
      <c r="AA13" s="9" t="s">
        <v>150</v>
      </c>
      <c r="AB13" s="9">
        <v>14.3</v>
      </c>
      <c r="AC13" s="9">
        <v>13.4</v>
      </c>
      <c r="AD13" s="9">
        <v>9.3000000000000007</v>
      </c>
      <c r="AE13" s="9" t="s">
        <v>151</v>
      </c>
      <c r="AI13">
        <v>12</v>
      </c>
      <c r="AJ13" s="9">
        <v>8.6999999999999993</v>
      </c>
      <c r="AK13" s="9">
        <v>9.1999999999999993</v>
      </c>
      <c r="AL13" s="9">
        <v>15</v>
      </c>
      <c r="AM13" s="9">
        <v>7.3</v>
      </c>
      <c r="AN13" s="9">
        <v>0.7</v>
      </c>
      <c r="AO13" s="9">
        <v>0.5</v>
      </c>
      <c r="AP13" s="9">
        <v>1.4</v>
      </c>
      <c r="AQ13" s="9">
        <v>1.7</v>
      </c>
      <c r="AR13" s="9">
        <v>9.4</v>
      </c>
      <c r="AS13" s="9">
        <v>9.6999999999999993</v>
      </c>
      <c r="AT13" s="9">
        <v>16.7</v>
      </c>
      <c r="AU13" s="9">
        <v>9.5</v>
      </c>
      <c r="AV13" s="9">
        <v>1.6</v>
      </c>
      <c r="AW13" s="9">
        <v>2</v>
      </c>
      <c r="AX13" s="9">
        <v>2.5</v>
      </c>
      <c r="AY13" s="9">
        <v>1.3</v>
      </c>
      <c r="AZ13" s="9">
        <v>0.2</v>
      </c>
      <c r="BA13" s="9">
        <v>0.2</v>
      </c>
      <c r="BB13" s="9">
        <v>0.2</v>
      </c>
      <c r="BC13" s="9">
        <v>0.2</v>
      </c>
      <c r="BD13" s="9">
        <v>0.1</v>
      </c>
      <c r="BE13" s="9">
        <v>0.2</v>
      </c>
      <c r="BF13" s="9">
        <v>0.5</v>
      </c>
      <c r="BG13" s="9">
        <v>0.5</v>
      </c>
      <c r="BH13">
        <v>86.6</v>
      </c>
      <c r="BI13">
        <v>79.5</v>
      </c>
      <c r="BJ13">
        <v>44.8</v>
      </c>
      <c r="BK13">
        <v>64.5</v>
      </c>
      <c r="BL13" t="s">
        <v>152</v>
      </c>
      <c r="BM13" t="s">
        <v>153</v>
      </c>
      <c r="BN13" s="11">
        <v>0.27060000000000001</v>
      </c>
      <c r="BO13" t="s">
        <v>154</v>
      </c>
      <c r="BP13" s="11">
        <v>1.04E-2</v>
      </c>
      <c r="BQ13">
        <v>0</v>
      </c>
      <c r="BR13">
        <v>4.57</v>
      </c>
      <c r="BT13">
        <v>0</v>
      </c>
      <c r="BU13" t="s">
        <v>145</v>
      </c>
      <c r="BV13">
        <v>0</v>
      </c>
      <c r="BW13">
        <v>0</v>
      </c>
      <c r="BX13">
        <v>0</v>
      </c>
      <c r="BY13" t="s">
        <v>155</v>
      </c>
      <c r="BZ13" t="s">
        <v>67</v>
      </c>
      <c r="CA13" s="11">
        <v>3.4500000000000003E-2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8" x14ac:dyDescent="0.25">
      <c r="A14" t="s">
        <v>45</v>
      </c>
      <c r="B14">
        <v>5</v>
      </c>
      <c r="C14" t="s">
        <v>156</v>
      </c>
      <c r="D14">
        <v>23.3</v>
      </c>
      <c r="E14">
        <v>24.5</v>
      </c>
      <c r="F14">
        <v>21.3</v>
      </c>
      <c r="G14" t="s">
        <v>157</v>
      </c>
      <c r="H14">
        <v>66.900000000000006</v>
      </c>
      <c r="I14">
        <v>64.400000000000006</v>
      </c>
      <c r="J14">
        <v>73.3</v>
      </c>
      <c r="K14" t="s">
        <v>158</v>
      </c>
      <c r="L14">
        <v>1014</v>
      </c>
      <c r="M14">
        <v>1009</v>
      </c>
      <c r="N14">
        <v>1012</v>
      </c>
      <c r="O14" t="s">
        <v>159</v>
      </c>
      <c r="P14">
        <v>1.6</v>
      </c>
      <c r="Q14">
        <v>2.8</v>
      </c>
      <c r="R14">
        <v>3.2</v>
      </c>
      <c r="S14">
        <v>2.8</v>
      </c>
      <c r="X14" s="9">
        <v>26.2</v>
      </c>
      <c r="Y14" s="9">
        <v>30.8</v>
      </c>
      <c r="Z14" s="9">
        <v>26.6</v>
      </c>
      <c r="AA14" s="9" t="s">
        <v>160</v>
      </c>
      <c r="AB14" s="9">
        <v>11.6</v>
      </c>
      <c r="AC14" s="9">
        <v>13.6</v>
      </c>
      <c r="AD14" s="9">
        <v>12.9</v>
      </c>
      <c r="AE14" s="9" t="s">
        <v>161</v>
      </c>
      <c r="AI14">
        <v>6</v>
      </c>
      <c r="AJ14" s="9">
        <v>7.1</v>
      </c>
      <c r="AK14" s="9">
        <v>10.4</v>
      </c>
      <c r="AL14" s="9">
        <v>16.3</v>
      </c>
      <c r="AM14" s="9">
        <v>5.9</v>
      </c>
      <c r="AN14" s="9">
        <v>0.6</v>
      </c>
      <c r="AO14" s="9">
        <v>0.4</v>
      </c>
      <c r="AP14" s="9">
        <v>1.4</v>
      </c>
      <c r="AQ14" s="9">
        <v>0.8</v>
      </c>
      <c r="AR14" s="9">
        <v>8.1</v>
      </c>
      <c r="AS14" s="9">
        <v>11</v>
      </c>
      <c r="AT14" s="9">
        <v>18.5</v>
      </c>
      <c r="AU14" s="9">
        <v>7.1</v>
      </c>
      <c r="AV14" s="9">
        <v>1</v>
      </c>
      <c r="AW14" s="9">
        <v>2.2000000000000002</v>
      </c>
      <c r="AX14" s="9">
        <v>0.9</v>
      </c>
      <c r="AY14" s="9">
        <v>0.8</v>
      </c>
      <c r="AZ14" s="9">
        <v>0.1</v>
      </c>
      <c r="BA14" s="9">
        <v>0.2</v>
      </c>
      <c r="BB14" s="9">
        <v>0.2</v>
      </c>
      <c r="BC14" s="9">
        <v>0.6</v>
      </c>
      <c r="BD14" s="9">
        <v>0.5</v>
      </c>
      <c r="BE14" s="9">
        <v>0.6</v>
      </c>
      <c r="BF14" s="9">
        <v>0.4</v>
      </c>
      <c r="BG14" s="9">
        <v>0.3</v>
      </c>
      <c r="BH14" s="9">
        <v>72.5</v>
      </c>
      <c r="BI14" s="9">
        <v>83.3</v>
      </c>
      <c r="BJ14" s="9">
        <v>59.4</v>
      </c>
      <c r="BK14" s="9">
        <v>58.7</v>
      </c>
      <c r="BL14" t="s">
        <v>162</v>
      </c>
      <c r="BM14" t="s">
        <v>163</v>
      </c>
      <c r="BN14" s="11">
        <v>0.1026</v>
      </c>
      <c r="BO14">
        <v>0</v>
      </c>
      <c r="BP14">
        <v>0</v>
      </c>
      <c r="BQ14">
        <v>0</v>
      </c>
      <c r="BR14">
        <v>9.14</v>
      </c>
      <c r="BT14">
        <v>0</v>
      </c>
      <c r="BU14">
        <v>4.57</v>
      </c>
      <c r="BV14">
        <v>0</v>
      </c>
      <c r="BW14">
        <v>0</v>
      </c>
      <c r="BX14">
        <v>0</v>
      </c>
    </row>
    <row r="15" spans="1:88" x14ac:dyDescent="0.25">
      <c r="A15" t="s">
        <v>69</v>
      </c>
      <c r="B15">
        <v>5</v>
      </c>
      <c r="C15" t="s">
        <v>164</v>
      </c>
      <c r="D15">
        <v>23.3</v>
      </c>
      <c r="E15">
        <v>24.5</v>
      </c>
      <c r="F15">
        <v>21.3</v>
      </c>
      <c r="G15" t="s">
        <v>165</v>
      </c>
      <c r="H15">
        <v>66.900000000000006</v>
      </c>
      <c r="I15">
        <v>64.400000000000006</v>
      </c>
      <c r="J15">
        <v>73.3</v>
      </c>
      <c r="K15" t="s">
        <v>166</v>
      </c>
      <c r="L15">
        <v>1014</v>
      </c>
      <c r="M15">
        <v>1009</v>
      </c>
      <c r="N15">
        <v>1012</v>
      </c>
      <c r="O15">
        <v>1016</v>
      </c>
      <c r="P15">
        <v>1.6</v>
      </c>
      <c r="Q15">
        <v>2.8</v>
      </c>
      <c r="R15">
        <v>3.2</v>
      </c>
      <c r="S15">
        <v>2.8</v>
      </c>
      <c r="X15" s="9">
        <v>26.2</v>
      </c>
      <c r="Y15" s="9">
        <v>30.8</v>
      </c>
      <c r="Z15" s="9">
        <v>26.6</v>
      </c>
      <c r="AA15" s="9" t="s">
        <v>167</v>
      </c>
      <c r="AB15" s="9">
        <v>11.6</v>
      </c>
      <c r="AC15" s="9">
        <v>13.6</v>
      </c>
      <c r="AD15" s="9">
        <v>12.9</v>
      </c>
      <c r="AE15" s="9" t="s">
        <v>161</v>
      </c>
      <c r="AI15">
        <v>7</v>
      </c>
      <c r="AJ15" s="9">
        <v>7.1</v>
      </c>
      <c r="AK15" s="9">
        <v>10.4</v>
      </c>
      <c r="AL15" s="9">
        <v>16.3</v>
      </c>
      <c r="AM15" s="9">
        <v>5.9</v>
      </c>
      <c r="AN15" s="9">
        <v>0.6</v>
      </c>
      <c r="AO15" s="9">
        <v>0.4</v>
      </c>
      <c r="AP15" s="9">
        <v>1.4</v>
      </c>
      <c r="AQ15" s="9">
        <v>0.8</v>
      </c>
      <c r="AR15" s="9">
        <v>8.1</v>
      </c>
      <c r="AS15" s="9">
        <v>11</v>
      </c>
      <c r="AT15" s="9">
        <v>18.5</v>
      </c>
      <c r="AU15" s="9">
        <v>7.1</v>
      </c>
      <c r="AV15" s="9">
        <v>1</v>
      </c>
      <c r="AW15" s="9">
        <v>2.2000000000000002</v>
      </c>
      <c r="AX15" s="9">
        <v>0.9</v>
      </c>
      <c r="AY15" s="9">
        <v>0.8</v>
      </c>
      <c r="AZ15" s="9">
        <v>0.1</v>
      </c>
      <c r="BA15" s="9">
        <v>0.2</v>
      </c>
      <c r="BB15" s="9">
        <v>0.2</v>
      </c>
      <c r="BC15" s="9">
        <v>0.6</v>
      </c>
      <c r="BD15" s="9">
        <v>0.5</v>
      </c>
      <c r="BE15" s="9">
        <v>0.6</v>
      </c>
      <c r="BF15" s="9">
        <v>0.4</v>
      </c>
      <c r="BG15" s="9">
        <v>0.3</v>
      </c>
      <c r="BH15" s="9">
        <v>72.5</v>
      </c>
      <c r="BI15" s="9">
        <v>83.3</v>
      </c>
      <c r="BJ15" s="9">
        <v>59.4</v>
      </c>
      <c r="BK15" s="9">
        <v>58.7</v>
      </c>
      <c r="BL15" t="s">
        <v>119</v>
      </c>
      <c r="BM15" t="s">
        <v>168</v>
      </c>
      <c r="BN15" s="11">
        <v>0.1108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4.57</v>
      </c>
      <c r="BW15" s="11">
        <v>3.5999999999999999E-3</v>
      </c>
      <c r="BX15">
        <v>0</v>
      </c>
    </row>
    <row r="16" spans="1:88" x14ac:dyDescent="0.25">
      <c r="A16" t="s">
        <v>58</v>
      </c>
      <c r="B16">
        <v>5</v>
      </c>
      <c r="C16" s="2">
        <v>45498</v>
      </c>
      <c r="D16">
        <v>21.3</v>
      </c>
      <c r="E16">
        <v>20.6</v>
      </c>
      <c r="F16">
        <v>18.7</v>
      </c>
      <c r="G16" t="s">
        <v>169</v>
      </c>
      <c r="H16">
        <v>73.3</v>
      </c>
      <c r="I16">
        <v>72.2</v>
      </c>
      <c r="J16">
        <v>74.2</v>
      </c>
      <c r="K16" t="s">
        <v>170</v>
      </c>
      <c r="L16">
        <v>1012</v>
      </c>
      <c r="M16">
        <v>1016</v>
      </c>
      <c r="N16">
        <v>1014</v>
      </c>
      <c r="O16">
        <v>1015</v>
      </c>
      <c r="P16">
        <v>3.2</v>
      </c>
      <c r="Q16">
        <v>2.8</v>
      </c>
      <c r="R16">
        <v>2.8</v>
      </c>
      <c r="S16">
        <v>2</v>
      </c>
      <c r="X16" s="9">
        <v>20.9</v>
      </c>
      <c r="Y16" s="9">
        <v>14.3</v>
      </c>
      <c r="Z16" s="9">
        <v>12.1</v>
      </c>
      <c r="AA16" s="9" t="s">
        <v>171</v>
      </c>
      <c r="AB16" s="9">
        <v>14.1</v>
      </c>
      <c r="AC16" s="9">
        <v>5.4</v>
      </c>
      <c r="AD16" s="9">
        <v>7.2</v>
      </c>
      <c r="AE16" s="9" t="s">
        <v>172</v>
      </c>
      <c r="AI16">
        <v>6</v>
      </c>
      <c r="AJ16" s="9">
        <v>26.1</v>
      </c>
      <c r="AK16" s="9">
        <v>13.9</v>
      </c>
      <c r="AL16" s="9">
        <v>11.4</v>
      </c>
      <c r="AM16" s="9">
        <v>17.399999999999999</v>
      </c>
      <c r="AN16" s="9">
        <v>4.3</v>
      </c>
      <c r="AO16" s="9">
        <v>3.1</v>
      </c>
      <c r="AP16" s="9">
        <v>2.6</v>
      </c>
      <c r="AQ16" s="9">
        <v>7.4</v>
      </c>
      <c r="AR16" s="9">
        <v>32.700000000000003</v>
      </c>
      <c r="AS16" s="9">
        <v>18.7</v>
      </c>
      <c r="AT16" s="9">
        <v>15.4</v>
      </c>
      <c r="AU16" s="9">
        <v>28.8</v>
      </c>
      <c r="AV16" s="9">
        <v>3.8</v>
      </c>
      <c r="AW16" s="9">
        <v>6.7</v>
      </c>
      <c r="AX16" s="9">
        <v>6.5</v>
      </c>
      <c r="AY16" s="9">
        <v>6.6</v>
      </c>
      <c r="AZ16" s="9">
        <v>0.3</v>
      </c>
      <c r="BA16" s="9">
        <v>0.2</v>
      </c>
      <c r="BB16" s="9">
        <v>0.2</v>
      </c>
      <c r="BC16" s="9">
        <v>0.2</v>
      </c>
      <c r="BD16" s="9">
        <v>0.3</v>
      </c>
      <c r="BE16" s="9">
        <v>0.2</v>
      </c>
      <c r="BF16" s="9">
        <v>0.2</v>
      </c>
      <c r="BG16" s="9">
        <v>0.2</v>
      </c>
      <c r="BH16" s="9">
        <v>59.4</v>
      </c>
      <c r="BI16" s="9">
        <v>58.7</v>
      </c>
      <c r="BJ16" s="9">
        <v>61.1</v>
      </c>
      <c r="BK16" s="9">
        <v>52.4</v>
      </c>
      <c r="BL16" t="s">
        <v>173</v>
      </c>
      <c r="BM16" t="s">
        <v>174</v>
      </c>
      <c r="BN16" s="11">
        <v>0.222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9.25</v>
      </c>
      <c r="BV16">
        <v>0</v>
      </c>
      <c r="BW16">
        <v>0</v>
      </c>
      <c r="BX16">
        <v>0</v>
      </c>
    </row>
    <row r="17" spans="1:76" x14ac:dyDescent="0.25">
      <c r="A17" t="s">
        <v>45</v>
      </c>
      <c r="B17">
        <v>6</v>
      </c>
      <c r="C17" s="2" t="s">
        <v>175</v>
      </c>
      <c r="D17">
        <v>19</v>
      </c>
      <c r="E17">
        <v>19</v>
      </c>
      <c r="F17">
        <v>19.7</v>
      </c>
      <c r="G17" t="s">
        <v>176</v>
      </c>
      <c r="H17">
        <v>70</v>
      </c>
      <c r="I17">
        <v>81.3</v>
      </c>
      <c r="J17">
        <v>77.7</v>
      </c>
      <c r="K17" t="s">
        <v>177</v>
      </c>
      <c r="L17">
        <v>1017</v>
      </c>
      <c r="M17">
        <v>1025</v>
      </c>
      <c r="N17">
        <v>1028</v>
      </c>
      <c r="O17">
        <v>1027</v>
      </c>
      <c r="P17">
        <v>5.4</v>
      </c>
      <c r="Q17">
        <v>3.2</v>
      </c>
      <c r="R17">
        <v>3.6</v>
      </c>
      <c r="S17">
        <v>1.8</v>
      </c>
      <c r="X17" s="9">
        <v>38.5</v>
      </c>
      <c r="Y17" s="9">
        <v>54.1</v>
      </c>
      <c r="Z17" s="9">
        <v>49.1</v>
      </c>
      <c r="AA17" s="9" t="s">
        <v>178</v>
      </c>
      <c r="AB17" s="9">
        <v>18.7</v>
      </c>
      <c r="AC17" s="9">
        <v>26.9</v>
      </c>
      <c r="AD17" s="9">
        <v>22.9</v>
      </c>
      <c r="AE17" s="9" t="s">
        <v>179</v>
      </c>
      <c r="AI17">
        <v>17</v>
      </c>
      <c r="AJ17" s="9">
        <v>5.5</v>
      </c>
      <c r="AK17" s="9">
        <v>8.9</v>
      </c>
      <c r="AL17" s="9">
        <v>8.6999999999999993</v>
      </c>
      <c r="AM17" s="9">
        <v>7.7</v>
      </c>
      <c r="AN17" s="9">
        <v>2.8</v>
      </c>
      <c r="AO17" s="9">
        <v>1.9</v>
      </c>
      <c r="AP17" s="9">
        <v>1.5</v>
      </c>
      <c r="AQ17" s="9">
        <v>1.6</v>
      </c>
      <c r="AR17" s="9">
        <v>9.8000000000000007</v>
      </c>
      <c r="AS17" s="9">
        <v>11.8</v>
      </c>
      <c r="AT17" s="9">
        <v>11.1</v>
      </c>
      <c r="AU17" s="9">
        <v>10.199999999999999</v>
      </c>
      <c r="AV17" s="9">
        <v>1.9</v>
      </c>
      <c r="AW17" s="9">
        <v>2.1</v>
      </c>
      <c r="AX17" s="9">
        <v>1.9</v>
      </c>
      <c r="AY17" s="9">
        <v>1.6</v>
      </c>
      <c r="AZ17" s="9">
        <v>0.3</v>
      </c>
      <c r="BA17" s="9">
        <v>0.3</v>
      </c>
      <c r="BB17" s="9">
        <v>0.2</v>
      </c>
      <c r="BC17" s="9">
        <v>0.3</v>
      </c>
      <c r="BD17" s="9">
        <v>0.2</v>
      </c>
      <c r="BE17" s="9">
        <v>0.5</v>
      </c>
      <c r="BF17" s="9">
        <v>0.5</v>
      </c>
      <c r="BG17" s="9">
        <v>0.3</v>
      </c>
      <c r="BH17" s="9">
        <v>55.2</v>
      </c>
      <c r="BI17" s="9">
        <v>59.8</v>
      </c>
      <c r="BJ17" s="9">
        <v>62.8</v>
      </c>
      <c r="BK17" s="9">
        <v>60.8</v>
      </c>
      <c r="BL17" t="s">
        <v>180</v>
      </c>
      <c r="BM17" t="s">
        <v>173</v>
      </c>
      <c r="BN17" s="11">
        <v>0.38059999999999999</v>
      </c>
      <c r="BO17">
        <v>0</v>
      </c>
      <c r="BP17">
        <v>0</v>
      </c>
      <c r="BQ17">
        <v>0</v>
      </c>
      <c r="BR17">
        <v>9.14</v>
      </c>
      <c r="BT17">
        <v>0</v>
      </c>
      <c r="BU17" t="s">
        <v>181</v>
      </c>
      <c r="BV17">
        <v>0</v>
      </c>
      <c r="BW17">
        <v>0</v>
      </c>
      <c r="BX17">
        <v>0</v>
      </c>
    </row>
    <row r="18" spans="1:76" ht="21.75" customHeight="1" x14ac:dyDescent="0.25">
      <c r="A18" t="s">
        <v>69</v>
      </c>
      <c r="B18">
        <v>6</v>
      </c>
      <c r="C18" t="s">
        <v>182</v>
      </c>
      <c r="D18">
        <v>19</v>
      </c>
      <c r="E18">
        <v>19</v>
      </c>
      <c r="F18">
        <v>19.7</v>
      </c>
      <c r="G18" t="s">
        <v>183</v>
      </c>
      <c r="H18">
        <v>70</v>
      </c>
      <c r="I18">
        <v>81.3</v>
      </c>
      <c r="J18">
        <v>77.7</v>
      </c>
      <c r="K18" t="s">
        <v>184</v>
      </c>
      <c r="L18">
        <v>1017</v>
      </c>
      <c r="M18">
        <v>1025</v>
      </c>
      <c r="N18">
        <v>1028</v>
      </c>
      <c r="O18">
        <v>1027</v>
      </c>
      <c r="P18">
        <v>5.4</v>
      </c>
      <c r="Q18">
        <v>3.2</v>
      </c>
      <c r="R18">
        <v>3.6</v>
      </c>
      <c r="S18">
        <v>1.8</v>
      </c>
      <c r="X18" s="9">
        <v>38.5</v>
      </c>
      <c r="Y18" s="9">
        <v>54.1</v>
      </c>
      <c r="Z18" s="9">
        <v>49.1</v>
      </c>
      <c r="AA18" s="9" t="s">
        <v>185</v>
      </c>
      <c r="AB18" s="9">
        <v>18.7</v>
      </c>
      <c r="AC18" s="9">
        <v>26.9</v>
      </c>
      <c r="AD18" s="9">
        <v>22.9</v>
      </c>
      <c r="AE18" s="9" t="s">
        <v>186</v>
      </c>
      <c r="AI18">
        <v>13</v>
      </c>
      <c r="AJ18" s="9">
        <v>5.5</v>
      </c>
      <c r="AK18" s="9">
        <v>8.9</v>
      </c>
      <c r="AL18" s="9">
        <v>8.6999999999999993</v>
      </c>
      <c r="AM18" s="9">
        <v>7.7</v>
      </c>
      <c r="AN18" s="9">
        <v>2.8</v>
      </c>
      <c r="AO18" s="9">
        <v>1.9</v>
      </c>
      <c r="AP18" s="9">
        <v>1.5</v>
      </c>
      <c r="AQ18" s="9">
        <v>1.6</v>
      </c>
      <c r="AR18" s="9">
        <v>9.8000000000000007</v>
      </c>
      <c r="AS18" s="9">
        <v>11.8</v>
      </c>
      <c r="AT18" s="9">
        <v>11.1</v>
      </c>
      <c r="AU18" s="9">
        <v>10.199999999999999</v>
      </c>
      <c r="AV18" s="9">
        <v>1.9</v>
      </c>
      <c r="AW18" s="9">
        <v>2.1</v>
      </c>
      <c r="AX18" s="9">
        <v>1.9</v>
      </c>
      <c r="AY18" s="9">
        <v>1.6</v>
      </c>
      <c r="AZ18" s="9">
        <v>0.3</v>
      </c>
      <c r="BA18" s="9">
        <v>0.3</v>
      </c>
      <c r="BB18" s="9">
        <v>0.2</v>
      </c>
      <c r="BC18" s="9">
        <v>0.3</v>
      </c>
      <c r="BD18" s="9">
        <v>0.2</v>
      </c>
      <c r="BE18" s="9">
        <v>0.5</v>
      </c>
      <c r="BF18" s="9">
        <v>0.5</v>
      </c>
      <c r="BG18" s="9">
        <v>0.3</v>
      </c>
      <c r="BH18" s="9">
        <v>55.2</v>
      </c>
      <c r="BI18" s="9">
        <v>59.8</v>
      </c>
      <c r="BJ18" s="9">
        <v>62.8</v>
      </c>
      <c r="BK18" s="9">
        <v>60.8</v>
      </c>
      <c r="BL18" t="s">
        <v>187</v>
      </c>
      <c r="BM18" s="22" t="s">
        <v>188</v>
      </c>
      <c r="BN18" s="11">
        <v>0.14810000000000001</v>
      </c>
      <c r="BO18">
        <v>0</v>
      </c>
      <c r="BP18">
        <v>0</v>
      </c>
      <c r="BQ18">
        <v>0</v>
      </c>
      <c r="BR18">
        <v>0</v>
      </c>
      <c r="BT18">
        <v>0</v>
      </c>
      <c r="BU18" t="s">
        <v>145</v>
      </c>
      <c r="BV18">
        <v>0</v>
      </c>
      <c r="BW18">
        <v>0</v>
      </c>
      <c r="BX18">
        <v>0</v>
      </c>
    </row>
    <row r="19" spans="1:76" x14ac:dyDescent="0.25">
      <c r="A19" t="s">
        <v>58</v>
      </c>
      <c r="B19">
        <v>6</v>
      </c>
      <c r="C19" t="s">
        <v>189</v>
      </c>
      <c r="D19">
        <v>16</v>
      </c>
      <c r="E19">
        <v>15.4</v>
      </c>
      <c r="F19">
        <v>15.2</v>
      </c>
      <c r="G19">
        <v>16.5</v>
      </c>
      <c r="H19">
        <v>57.6</v>
      </c>
      <c r="I19">
        <v>73.2</v>
      </c>
      <c r="J19">
        <v>69.7</v>
      </c>
      <c r="K19">
        <v>73.8</v>
      </c>
      <c r="L19">
        <v>1019</v>
      </c>
      <c r="M19">
        <v>1011</v>
      </c>
      <c r="N19">
        <v>1006</v>
      </c>
      <c r="O19">
        <v>1007</v>
      </c>
      <c r="P19">
        <v>2.5</v>
      </c>
      <c r="Q19">
        <v>2.2000000000000002</v>
      </c>
      <c r="R19">
        <v>3.1</v>
      </c>
      <c r="S19">
        <v>3.3</v>
      </c>
      <c r="X19" s="9">
        <v>36.799999999999997</v>
      </c>
      <c r="Y19" s="9">
        <v>38.799999999999997</v>
      </c>
      <c r="Z19" s="9">
        <v>23.8</v>
      </c>
      <c r="AA19" s="9">
        <v>11.6</v>
      </c>
      <c r="AB19" s="9">
        <v>24.2</v>
      </c>
      <c r="AC19" s="9">
        <v>19.899999999999999</v>
      </c>
      <c r="AD19" s="9">
        <v>18.600000000000001</v>
      </c>
      <c r="AE19" s="9">
        <v>7</v>
      </c>
      <c r="AI19" t="s">
        <v>190</v>
      </c>
      <c r="AJ19" s="9">
        <v>30.2</v>
      </c>
      <c r="AK19" s="9">
        <v>40.200000000000003</v>
      </c>
      <c r="AL19" s="9">
        <v>23.5</v>
      </c>
      <c r="AM19" s="9">
        <v>16.399999999999999</v>
      </c>
      <c r="AN19" s="9">
        <v>8.4</v>
      </c>
      <c r="AO19" s="9">
        <v>14.5</v>
      </c>
      <c r="AP19" s="9">
        <v>6.9</v>
      </c>
      <c r="AQ19" s="9">
        <v>2.2000000000000002</v>
      </c>
      <c r="AR19" s="9">
        <v>43.1</v>
      </c>
      <c r="AS19" s="9">
        <v>62.5</v>
      </c>
      <c r="AT19" s="9">
        <v>34</v>
      </c>
      <c r="AU19" s="9">
        <v>19.8</v>
      </c>
      <c r="AV19" s="9">
        <v>2.6</v>
      </c>
      <c r="AW19" s="9">
        <v>3.6</v>
      </c>
      <c r="AX19" s="9">
        <v>4</v>
      </c>
      <c r="AY19" s="9">
        <v>1.7</v>
      </c>
      <c r="AZ19" s="9">
        <v>0.3</v>
      </c>
      <c r="BA19" s="9">
        <v>0.3</v>
      </c>
      <c r="BB19" s="9">
        <v>0.3</v>
      </c>
      <c r="BC19" s="9">
        <v>0.3</v>
      </c>
      <c r="BD19" s="9">
        <v>0.8</v>
      </c>
      <c r="BE19" s="9">
        <v>0.7</v>
      </c>
      <c r="BF19" s="9">
        <v>0.5</v>
      </c>
      <c r="BG19" s="9">
        <v>0.2</v>
      </c>
      <c r="BH19" s="9">
        <v>55</v>
      </c>
      <c r="BI19" s="9">
        <v>40.799999999999997</v>
      </c>
      <c r="BJ19" s="9">
        <v>47.5</v>
      </c>
      <c r="BK19" s="9">
        <v>54.9</v>
      </c>
      <c r="BL19" t="s">
        <v>191</v>
      </c>
      <c r="BM19" t="s">
        <v>154</v>
      </c>
      <c r="BN19" s="11">
        <v>4.7999999999999996E-3</v>
      </c>
      <c r="BO19" t="s">
        <v>154</v>
      </c>
      <c r="BP19" s="11">
        <v>4.7999999999999996E-3</v>
      </c>
      <c r="BQ19">
        <v>0</v>
      </c>
      <c r="BR19">
        <v>4.57</v>
      </c>
      <c r="BT19">
        <v>4.57</v>
      </c>
      <c r="BU19">
        <v>0</v>
      </c>
      <c r="BV19">
        <v>0</v>
      </c>
      <c r="BW19">
        <v>0</v>
      </c>
      <c r="BX19">
        <v>0</v>
      </c>
    </row>
    <row r="20" spans="1:76" x14ac:dyDescent="0.25">
      <c r="A20" t="s">
        <v>45</v>
      </c>
      <c r="B20">
        <v>7</v>
      </c>
      <c r="C20" t="s">
        <v>192</v>
      </c>
      <c r="D20">
        <v>-0.8</v>
      </c>
      <c r="E20">
        <v>0.4</v>
      </c>
      <c r="F20">
        <v>4.4000000000000004</v>
      </c>
      <c r="G20" t="s">
        <v>193</v>
      </c>
      <c r="H20">
        <v>84.2</v>
      </c>
      <c r="I20">
        <v>80.3</v>
      </c>
      <c r="J20">
        <v>76.5</v>
      </c>
      <c r="K20" t="s">
        <v>194</v>
      </c>
      <c r="L20">
        <v>998</v>
      </c>
      <c r="M20">
        <v>1015</v>
      </c>
      <c r="N20">
        <v>1015</v>
      </c>
      <c r="O20">
        <v>1013</v>
      </c>
      <c r="P20">
        <v>3.2</v>
      </c>
      <c r="Q20">
        <v>3.7</v>
      </c>
      <c r="R20">
        <v>3.6</v>
      </c>
      <c r="S20">
        <v>3</v>
      </c>
      <c r="X20" s="9">
        <v>23.19</v>
      </c>
      <c r="Y20" s="9">
        <v>14.76</v>
      </c>
      <c r="Z20" s="9">
        <v>15.81</v>
      </c>
      <c r="AA20" s="9" t="s">
        <v>195</v>
      </c>
      <c r="AB20" s="9">
        <v>18.600000000000001</v>
      </c>
      <c r="AC20" s="9">
        <v>11</v>
      </c>
      <c r="AD20" s="9">
        <v>12.6</v>
      </c>
      <c r="AE20" s="9" t="s">
        <v>196</v>
      </c>
      <c r="AI20">
        <v>13</v>
      </c>
      <c r="AJ20" s="9">
        <v>28.6</v>
      </c>
      <c r="AK20" s="9">
        <v>14.79</v>
      </c>
      <c r="AL20" s="9">
        <v>13.37</v>
      </c>
      <c r="AM20" s="9">
        <v>22.58</v>
      </c>
      <c r="AN20" s="9">
        <v>7.3</v>
      </c>
      <c r="AO20" s="9">
        <v>1.1299999999999999</v>
      </c>
      <c r="AP20" s="9">
        <v>1.79</v>
      </c>
      <c r="AQ20" s="9">
        <v>5.36</v>
      </c>
      <c r="AR20" s="9">
        <v>39.82</v>
      </c>
      <c r="AS20" s="9">
        <v>16.510000000000002</v>
      </c>
      <c r="AT20" s="9">
        <v>16.11</v>
      </c>
      <c r="AU20" s="9">
        <v>30.82</v>
      </c>
      <c r="AV20" s="9">
        <v>2.4</v>
      </c>
      <c r="AW20" s="9">
        <v>2.93</v>
      </c>
      <c r="AX20" s="9">
        <v>3.11</v>
      </c>
      <c r="AY20" s="9">
        <v>3.32</v>
      </c>
      <c r="AZ20" s="9">
        <v>0.28999999999999998</v>
      </c>
      <c r="BA20" s="9">
        <v>0.15</v>
      </c>
      <c r="BB20" s="9">
        <v>0.2</v>
      </c>
      <c r="BC20" s="9">
        <v>0.25</v>
      </c>
      <c r="BD20" s="9">
        <v>1.04</v>
      </c>
      <c r="BE20" s="9">
        <v>0.38</v>
      </c>
      <c r="BF20" s="9">
        <v>0.7</v>
      </c>
      <c r="BG20" s="9">
        <v>0.89</v>
      </c>
      <c r="BH20" s="9">
        <v>22.93</v>
      </c>
      <c r="BI20" s="9">
        <v>42.6</v>
      </c>
      <c r="BJ20" s="9">
        <v>35.79</v>
      </c>
      <c r="BK20" s="9">
        <v>27.36</v>
      </c>
      <c r="BL20" t="s">
        <v>197</v>
      </c>
      <c r="BM20" t="s">
        <v>198</v>
      </c>
      <c r="BN20" s="11">
        <v>7.4899999999999994E-2</v>
      </c>
      <c r="BO20" t="s">
        <v>154</v>
      </c>
      <c r="BP20" s="11">
        <v>5.7999999999999996E-3</v>
      </c>
      <c r="BT20">
        <v>4.57</v>
      </c>
      <c r="BU20">
        <v>0</v>
      </c>
      <c r="BV20">
        <v>9.14</v>
      </c>
      <c r="BW20" s="11">
        <v>4.0000000000000001E-3</v>
      </c>
      <c r="BX20">
        <v>0</v>
      </c>
    </row>
    <row r="21" spans="1:76" x14ac:dyDescent="0.25">
      <c r="A21" t="s">
        <v>69</v>
      </c>
      <c r="B21">
        <v>7</v>
      </c>
      <c r="C21" t="s">
        <v>199</v>
      </c>
      <c r="D21">
        <v>-0.8</v>
      </c>
      <c r="E21">
        <v>0.4</v>
      </c>
      <c r="F21">
        <v>4.4000000000000004</v>
      </c>
      <c r="G21" t="s">
        <v>200</v>
      </c>
      <c r="H21">
        <v>84.2</v>
      </c>
      <c r="I21">
        <v>80.3</v>
      </c>
      <c r="J21">
        <v>76.5</v>
      </c>
      <c r="K21" t="s">
        <v>201</v>
      </c>
      <c r="L21">
        <v>998</v>
      </c>
      <c r="M21">
        <v>1015</v>
      </c>
      <c r="N21">
        <v>1015</v>
      </c>
      <c r="O21">
        <v>1013</v>
      </c>
      <c r="P21">
        <v>3.2</v>
      </c>
      <c r="Q21">
        <v>3.7</v>
      </c>
      <c r="R21">
        <v>3.6</v>
      </c>
      <c r="S21">
        <v>3</v>
      </c>
      <c r="X21" s="9">
        <v>23.19</v>
      </c>
      <c r="Y21" s="9">
        <v>14.76</v>
      </c>
      <c r="Z21" s="9">
        <v>15.81</v>
      </c>
      <c r="AA21" s="9" t="s">
        <v>202</v>
      </c>
      <c r="AB21" s="9">
        <v>18.600000000000001</v>
      </c>
      <c r="AC21" s="9">
        <v>11</v>
      </c>
      <c r="AD21" s="9">
        <v>12.6</v>
      </c>
      <c r="AE21" s="9" t="s">
        <v>203</v>
      </c>
      <c r="AI21">
        <v>13</v>
      </c>
      <c r="AJ21" s="9">
        <v>28.6</v>
      </c>
      <c r="AK21" s="9">
        <v>14.79</v>
      </c>
      <c r="AL21" s="9">
        <v>13.37</v>
      </c>
      <c r="AM21" s="9">
        <v>22.58</v>
      </c>
      <c r="AN21" s="9">
        <v>7.3</v>
      </c>
      <c r="AO21" s="9">
        <v>1.1299999999999999</v>
      </c>
      <c r="AP21" s="9">
        <v>1.79</v>
      </c>
      <c r="AQ21" s="9">
        <v>5.36</v>
      </c>
      <c r="AR21" s="9">
        <v>39.82</v>
      </c>
      <c r="AS21" s="9">
        <v>16.510000000000002</v>
      </c>
      <c r="AT21" s="9">
        <v>16.11</v>
      </c>
      <c r="AU21" s="9">
        <v>30.82</v>
      </c>
      <c r="AV21" s="9">
        <v>2.4</v>
      </c>
      <c r="AW21" s="9">
        <v>2.93</v>
      </c>
      <c r="AX21" s="9">
        <v>3.11</v>
      </c>
      <c r="AY21" s="9">
        <v>3.32</v>
      </c>
      <c r="AZ21" s="9">
        <v>0.28999999999999998</v>
      </c>
      <c r="BA21" s="9">
        <v>0.15</v>
      </c>
      <c r="BB21" s="9">
        <v>0.2</v>
      </c>
      <c r="BC21" s="9">
        <v>0.25</v>
      </c>
      <c r="BD21" s="9">
        <v>1.04</v>
      </c>
      <c r="BE21" s="9">
        <v>0.38</v>
      </c>
      <c r="BF21" s="9">
        <v>0.7</v>
      </c>
      <c r="BG21" s="9">
        <v>0.89</v>
      </c>
      <c r="BH21" s="9">
        <v>22.93</v>
      </c>
      <c r="BI21" s="9">
        <v>42.6</v>
      </c>
      <c r="BJ21" s="9">
        <v>35.79</v>
      </c>
      <c r="BK21" s="9">
        <v>27.36</v>
      </c>
      <c r="BL21" t="s">
        <v>204</v>
      </c>
      <c r="BM21" t="s">
        <v>205</v>
      </c>
      <c r="BN21" s="11">
        <v>0.214</v>
      </c>
      <c r="BO21" t="s">
        <v>206</v>
      </c>
      <c r="BP21" s="11">
        <v>2.5499999999999998E-2</v>
      </c>
      <c r="BT21">
        <v>4.57</v>
      </c>
      <c r="BU21" t="s">
        <v>207</v>
      </c>
      <c r="BV21">
        <v>0</v>
      </c>
      <c r="BW21">
        <v>0</v>
      </c>
      <c r="BX21">
        <v>0</v>
      </c>
    </row>
    <row r="22" spans="1:76" x14ac:dyDescent="0.25">
      <c r="A22" t="s">
        <v>58</v>
      </c>
      <c r="B22">
        <v>7</v>
      </c>
      <c r="C22" t="s">
        <v>208</v>
      </c>
      <c r="D22">
        <v>-0.8</v>
      </c>
      <c r="E22">
        <v>0.4</v>
      </c>
      <c r="F22">
        <v>4.4000000000000004</v>
      </c>
      <c r="G22" t="s">
        <v>209</v>
      </c>
      <c r="H22">
        <v>84.2</v>
      </c>
      <c r="I22">
        <v>80.3</v>
      </c>
      <c r="J22">
        <v>76.5</v>
      </c>
      <c r="K22" t="s">
        <v>194</v>
      </c>
      <c r="L22">
        <v>998</v>
      </c>
      <c r="M22">
        <v>1015</v>
      </c>
      <c r="N22">
        <v>1015</v>
      </c>
      <c r="O22">
        <v>1013</v>
      </c>
      <c r="P22">
        <v>3.2</v>
      </c>
      <c r="Q22">
        <v>3.7</v>
      </c>
      <c r="R22">
        <v>3.6</v>
      </c>
      <c r="S22">
        <v>3</v>
      </c>
      <c r="X22" s="9">
        <v>24.3</v>
      </c>
      <c r="Y22" s="9">
        <v>14.5</v>
      </c>
      <c r="Z22" s="9">
        <v>15.1</v>
      </c>
      <c r="AA22" s="9" t="s">
        <v>210</v>
      </c>
      <c r="AB22" s="9">
        <v>18.899999999999999</v>
      </c>
      <c r="AC22" s="9">
        <v>10.58</v>
      </c>
      <c r="AD22" s="9">
        <v>14.15</v>
      </c>
      <c r="AE22" s="9" t="s">
        <v>211</v>
      </c>
      <c r="AI22">
        <v>11</v>
      </c>
      <c r="AJ22" s="9">
        <v>26.56</v>
      </c>
      <c r="AK22" s="9">
        <v>13.5</v>
      </c>
      <c r="AL22" s="9">
        <v>15.15</v>
      </c>
      <c r="AM22" s="9">
        <v>27.49</v>
      </c>
      <c r="AN22" s="9">
        <v>7.49</v>
      </c>
      <c r="AO22" s="9">
        <v>1.92</v>
      </c>
      <c r="AP22" s="9">
        <v>2.11</v>
      </c>
      <c r="AQ22" s="9">
        <v>12.58</v>
      </c>
      <c r="AR22" s="9">
        <v>38.03</v>
      </c>
      <c r="AS22" s="9">
        <v>16.43</v>
      </c>
      <c r="AT22" s="9">
        <v>18.399999999999999</v>
      </c>
      <c r="AU22" s="9">
        <v>46.78</v>
      </c>
      <c r="AV22" s="9">
        <v>1.67</v>
      </c>
      <c r="AW22" s="9">
        <v>2.68</v>
      </c>
      <c r="AX22" s="9">
        <v>2.25</v>
      </c>
      <c r="AY22" s="9">
        <v>3.44</v>
      </c>
      <c r="AZ22" s="9">
        <v>0.36</v>
      </c>
      <c r="BA22" s="9">
        <v>0.28000000000000003</v>
      </c>
      <c r="BB22" s="9">
        <v>0.31</v>
      </c>
      <c r="BC22" s="9">
        <v>0.27</v>
      </c>
      <c r="BD22" s="9">
        <v>0.41</v>
      </c>
      <c r="BE22" s="9">
        <v>0.37</v>
      </c>
      <c r="BF22" s="9">
        <v>0.41</v>
      </c>
      <c r="BG22" s="9">
        <v>0.5</v>
      </c>
      <c r="BH22" s="9">
        <v>22.93</v>
      </c>
      <c r="BI22" s="9">
        <v>42.6</v>
      </c>
      <c r="BJ22" s="9">
        <v>35.79</v>
      </c>
      <c r="BK22" s="9">
        <v>27.36</v>
      </c>
      <c r="BL22" t="s">
        <v>212</v>
      </c>
      <c r="BM22" t="s">
        <v>213</v>
      </c>
      <c r="BN22" s="11">
        <v>0.22989999999999999</v>
      </c>
      <c r="BO22" s="23" t="s">
        <v>76</v>
      </c>
      <c r="BP22" s="11">
        <v>2.7E-2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25">
      <c r="A23" t="s">
        <v>58</v>
      </c>
      <c r="B23">
        <v>8</v>
      </c>
      <c r="C23" t="s">
        <v>214</v>
      </c>
      <c r="D23">
        <v>1.6</v>
      </c>
      <c r="E23">
        <v>-0.7</v>
      </c>
      <c r="F23">
        <v>-1.5</v>
      </c>
      <c r="G23" t="s">
        <v>215</v>
      </c>
      <c r="H23">
        <v>94.6</v>
      </c>
      <c r="I23">
        <v>94.8</v>
      </c>
      <c r="J23">
        <v>97.8</v>
      </c>
      <c r="K23" t="s">
        <v>216</v>
      </c>
      <c r="L23">
        <v>1036</v>
      </c>
      <c r="M23">
        <v>1033</v>
      </c>
      <c r="N23">
        <v>1028</v>
      </c>
      <c r="O23">
        <v>1020</v>
      </c>
      <c r="P23">
        <v>3.1</v>
      </c>
      <c r="Q23">
        <v>1.9</v>
      </c>
      <c r="R23">
        <v>1.7</v>
      </c>
      <c r="S23">
        <v>2.2000000000000002</v>
      </c>
      <c r="X23" s="9">
        <v>28.6</v>
      </c>
      <c r="Y23" s="9">
        <v>29.1</v>
      </c>
      <c r="Z23" s="9">
        <v>23.2</v>
      </c>
      <c r="AA23" s="9" t="s">
        <v>217</v>
      </c>
      <c r="AB23" s="9">
        <v>24.8</v>
      </c>
      <c r="AC23" s="9">
        <v>26.5</v>
      </c>
      <c r="AD23" s="9">
        <v>21.5</v>
      </c>
      <c r="AE23" s="9" t="s">
        <v>218</v>
      </c>
      <c r="AI23">
        <v>37</v>
      </c>
      <c r="AJ23" s="9">
        <v>20.67</v>
      </c>
      <c r="AK23" s="9">
        <v>18.7</v>
      </c>
      <c r="AL23" s="9">
        <v>14.13</v>
      </c>
      <c r="AM23" s="9">
        <v>26.88</v>
      </c>
      <c r="AN23" s="9">
        <v>4.78</v>
      </c>
      <c r="AO23" s="9">
        <v>4.45</v>
      </c>
      <c r="AP23" s="9">
        <v>2.12</v>
      </c>
      <c r="AQ23" s="9">
        <v>18.57</v>
      </c>
      <c r="AR23" s="9">
        <v>28.02</v>
      </c>
      <c r="AS23" s="9">
        <v>25.53</v>
      </c>
      <c r="AT23" s="9">
        <v>17.38</v>
      </c>
      <c r="AU23" s="9">
        <v>55.36</v>
      </c>
      <c r="AV23" s="9">
        <v>2.93</v>
      </c>
      <c r="AW23" s="9">
        <v>2.38</v>
      </c>
      <c r="AX23" s="9">
        <v>1.41</v>
      </c>
      <c r="AY23" s="9">
        <v>4.0999999999999996</v>
      </c>
      <c r="AZ23" s="9">
        <v>0.37</v>
      </c>
      <c r="BA23" s="9">
        <v>0.44</v>
      </c>
      <c r="BB23" s="9">
        <v>0.45</v>
      </c>
      <c r="BC23" s="9">
        <v>0.68</v>
      </c>
      <c r="BH23" s="9">
        <v>20.91</v>
      </c>
      <c r="BI23" s="9">
        <v>13.7</v>
      </c>
      <c r="BJ23" s="9">
        <v>14.55</v>
      </c>
      <c r="BK23" s="9">
        <v>9.4</v>
      </c>
      <c r="BL23" t="s">
        <v>219</v>
      </c>
      <c r="BM23" t="s">
        <v>220</v>
      </c>
      <c r="BN23" s="11">
        <v>8.3199999999999996E-2</v>
      </c>
      <c r="BO23">
        <v>0</v>
      </c>
      <c r="BP23">
        <v>0</v>
      </c>
      <c r="BT23">
        <v>0</v>
      </c>
      <c r="BU23">
        <v>9.14</v>
      </c>
      <c r="BV23">
        <v>0</v>
      </c>
      <c r="BW23">
        <v>0</v>
      </c>
      <c r="BX23">
        <v>0</v>
      </c>
    </row>
    <row r="24" spans="1:76" x14ac:dyDescent="0.25">
      <c r="A24" t="s">
        <v>69</v>
      </c>
      <c r="B24">
        <v>8</v>
      </c>
      <c r="C24" s="2" t="s">
        <v>221</v>
      </c>
      <c r="D24">
        <v>1.6</v>
      </c>
      <c r="E24">
        <v>-0.7</v>
      </c>
      <c r="F24">
        <v>-1.5</v>
      </c>
      <c r="G24" t="s">
        <v>222</v>
      </c>
      <c r="H24">
        <v>94.6</v>
      </c>
      <c r="I24">
        <v>94.8</v>
      </c>
      <c r="J24">
        <v>97.8</v>
      </c>
      <c r="K24" t="s">
        <v>223</v>
      </c>
      <c r="L24">
        <v>1036</v>
      </c>
      <c r="M24">
        <v>1033</v>
      </c>
      <c r="N24">
        <v>1028</v>
      </c>
      <c r="O24">
        <v>1020</v>
      </c>
      <c r="P24">
        <v>3.1</v>
      </c>
      <c r="Q24">
        <v>1.9</v>
      </c>
      <c r="R24">
        <v>1.7</v>
      </c>
      <c r="S24">
        <v>2.2000000000000002</v>
      </c>
      <c r="X24" s="9">
        <v>27.82</v>
      </c>
      <c r="Y24" s="9">
        <v>26.26</v>
      </c>
      <c r="Z24" s="9">
        <v>23.72</v>
      </c>
      <c r="AA24" s="9" t="s">
        <v>224</v>
      </c>
      <c r="AB24" s="9">
        <v>24.8</v>
      </c>
      <c r="AC24" s="9">
        <v>26.5</v>
      </c>
      <c r="AD24" s="9">
        <v>21.5</v>
      </c>
      <c r="AE24" s="9" t="s">
        <v>225</v>
      </c>
      <c r="AI24">
        <v>58</v>
      </c>
      <c r="AJ24" s="9">
        <v>24.52</v>
      </c>
      <c r="AK24" s="9">
        <v>17.3</v>
      </c>
      <c r="AL24" s="9">
        <v>16.98</v>
      </c>
      <c r="AM24" s="9">
        <v>29.7</v>
      </c>
      <c r="AN24" s="9">
        <v>5.97</v>
      </c>
      <c r="AO24" s="9">
        <v>4.8</v>
      </c>
      <c r="AP24" s="9">
        <v>4.25</v>
      </c>
      <c r="AQ24" s="9">
        <v>12.62</v>
      </c>
      <c r="AR24" s="9">
        <v>33.67</v>
      </c>
      <c r="AS24" s="9">
        <v>24.65</v>
      </c>
      <c r="AT24" s="9">
        <v>23.48</v>
      </c>
      <c r="AU24" s="9">
        <v>49.04</v>
      </c>
      <c r="AV24" s="9">
        <v>2.95</v>
      </c>
      <c r="AW24" s="9">
        <v>1.84</v>
      </c>
      <c r="AX24" s="9">
        <v>0.74</v>
      </c>
      <c r="AY24" s="9">
        <v>1.9</v>
      </c>
      <c r="AZ24" s="9">
        <v>0.37</v>
      </c>
      <c r="BA24" s="9">
        <v>0.44</v>
      </c>
      <c r="BB24" s="9">
        <v>0.45</v>
      </c>
      <c r="BC24" s="9">
        <v>0.63</v>
      </c>
      <c r="BH24" s="9">
        <v>20.91</v>
      </c>
      <c r="BI24" s="9">
        <v>13.7</v>
      </c>
      <c r="BJ24" s="9">
        <v>14.55</v>
      </c>
      <c r="BK24" s="9">
        <v>9.4</v>
      </c>
      <c r="BL24" t="s">
        <v>226</v>
      </c>
      <c r="BM24" t="s">
        <v>206</v>
      </c>
      <c r="BN24" s="11">
        <v>4.4600000000000001E-2</v>
      </c>
      <c r="BO24">
        <v>0</v>
      </c>
      <c r="BP24">
        <v>0</v>
      </c>
      <c r="BT24">
        <v>4.57</v>
      </c>
      <c r="BU24" t="s">
        <v>227</v>
      </c>
      <c r="BV24">
        <v>0</v>
      </c>
      <c r="BW24">
        <v>0</v>
      </c>
      <c r="BX24">
        <v>0</v>
      </c>
    </row>
    <row r="25" spans="1:76" x14ac:dyDescent="0.25">
      <c r="A25" t="s">
        <v>45</v>
      </c>
      <c r="B25">
        <v>8</v>
      </c>
      <c r="C25" t="s">
        <v>228</v>
      </c>
      <c r="D25">
        <v>-0.7</v>
      </c>
      <c r="E25">
        <v>-1.5</v>
      </c>
      <c r="F25">
        <v>1</v>
      </c>
      <c r="G25" t="s">
        <v>229</v>
      </c>
      <c r="H25">
        <v>94.8</v>
      </c>
      <c r="I25">
        <v>97.8</v>
      </c>
      <c r="J25">
        <v>88.9</v>
      </c>
      <c r="K25" t="s">
        <v>230</v>
      </c>
      <c r="L25">
        <v>1033</v>
      </c>
      <c r="M25">
        <v>1028</v>
      </c>
      <c r="N25">
        <v>1020</v>
      </c>
      <c r="O25">
        <v>1018</v>
      </c>
      <c r="P25">
        <v>1.9</v>
      </c>
      <c r="Q25">
        <v>1.7</v>
      </c>
      <c r="R25">
        <v>2.2000000000000002</v>
      </c>
      <c r="S25">
        <v>1.8</v>
      </c>
      <c r="X25" s="9">
        <v>26.26</v>
      </c>
      <c r="Y25" s="9">
        <v>23.72</v>
      </c>
      <c r="Z25" s="9">
        <v>55.69</v>
      </c>
      <c r="AA25" s="9" t="s">
        <v>231</v>
      </c>
      <c r="AB25" s="9">
        <v>26.5</v>
      </c>
      <c r="AC25" s="9">
        <v>21.5</v>
      </c>
      <c r="AD25" s="9">
        <v>55.3</v>
      </c>
      <c r="AE25" s="9" t="s">
        <v>232</v>
      </c>
      <c r="AI25">
        <v>31</v>
      </c>
      <c r="AJ25" s="9">
        <v>17.3</v>
      </c>
      <c r="AK25" s="9">
        <v>16.98</v>
      </c>
      <c r="AL25" s="9">
        <v>29.7</v>
      </c>
      <c r="AM25" s="9">
        <v>30.78</v>
      </c>
      <c r="AN25" s="9">
        <v>4.8</v>
      </c>
      <c r="AO25" s="9">
        <v>4.25</v>
      </c>
      <c r="AP25" s="9">
        <v>12.62</v>
      </c>
      <c r="AQ25" s="9">
        <v>13.54</v>
      </c>
      <c r="AR25" s="9">
        <v>24.65</v>
      </c>
      <c r="AS25" s="9">
        <v>23.48</v>
      </c>
      <c r="AT25" s="9">
        <v>49.04</v>
      </c>
      <c r="AU25" s="9">
        <v>51.51</v>
      </c>
      <c r="AV25" s="9">
        <v>1.84</v>
      </c>
      <c r="AW25" s="9">
        <v>0.74</v>
      </c>
      <c r="AX25" s="9">
        <v>1.9</v>
      </c>
      <c r="AY25" s="9">
        <v>2.41</v>
      </c>
      <c r="AZ25" s="9">
        <v>0.44</v>
      </c>
      <c r="BA25" s="9">
        <v>0.45</v>
      </c>
      <c r="BB25" s="9">
        <v>0.63</v>
      </c>
      <c r="BC25" s="9">
        <v>0.4</v>
      </c>
      <c r="BH25" s="9">
        <v>13.7</v>
      </c>
      <c r="BI25" s="9">
        <v>14.55</v>
      </c>
      <c r="BJ25" s="9">
        <v>9.4</v>
      </c>
      <c r="BK25" s="9">
        <v>7.73</v>
      </c>
      <c r="BL25" t="s">
        <v>153</v>
      </c>
      <c r="BM25" t="s">
        <v>154</v>
      </c>
      <c r="BN25" s="11">
        <v>3.8399999999999997E-2</v>
      </c>
      <c r="BO25">
        <v>0</v>
      </c>
      <c r="BP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9" spans="1:76" x14ac:dyDescent="0.25">
      <c r="X29" s="9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69FC-A283-4BD0-820D-7E472CF3FD2E}">
  <dimension ref="A1:BM25"/>
  <sheetViews>
    <sheetView workbookViewId="0">
      <pane xSplit="3" topLeftCell="U1" activePane="topRight" state="frozen"/>
      <selection pane="topRight" activeCell="AB23" sqref="AB23"/>
    </sheetView>
  </sheetViews>
  <sheetFormatPr defaultRowHeight="15" outlineLevelCol="1" x14ac:dyDescent="0.25"/>
  <cols>
    <col min="2" max="2" width="11" customWidth="1"/>
    <col min="5" max="7" width="9.140625" customWidth="1" outlineLevel="1"/>
    <col min="8" max="8" width="9.28515625" bestFit="1" customWidth="1"/>
    <col min="9" max="11" width="9.140625" customWidth="1" outlineLevel="1"/>
    <col min="12" max="15" width="9.140625" style="14" customWidth="1" outlineLevel="1"/>
    <col min="16" max="16" width="9.28515625" bestFit="1" customWidth="1"/>
    <col min="17" max="19" width="9.140625" customWidth="1" outlineLevel="1"/>
    <col min="21" max="23" width="9.140625" customWidth="1" outlineLevel="1"/>
    <col min="24" max="27" width="9.140625" style="14" customWidth="1" outlineLevel="1"/>
    <col min="30" max="31" width="12.28515625" bestFit="1" customWidth="1"/>
    <col min="37" max="39" width="12.28515625" bestFit="1" customWidth="1"/>
    <col min="42" max="43" width="12.28515625" bestFit="1" customWidth="1"/>
    <col min="45" max="45" width="12.28515625" bestFit="1" customWidth="1"/>
    <col min="47" max="47" width="12.28515625" bestFit="1" customWidth="1"/>
    <col min="57" max="57" width="31.28515625" customWidth="1"/>
    <col min="58" max="58" width="40.42578125" customWidth="1"/>
    <col min="59" max="59" width="20.85546875" customWidth="1"/>
  </cols>
  <sheetData>
    <row r="1" spans="1:65" x14ac:dyDescent="0.25">
      <c r="A1" t="s">
        <v>1</v>
      </c>
      <c r="B1" t="s">
        <v>2</v>
      </c>
      <c r="C1" t="s">
        <v>0</v>
      </c>
      <c r="D1" t="s">
        <v>233</v>
      </c>
      <c r="E1" t="s">
        <v>5</v>
      </c>
      <c r="F1" t="s">
        <v>4</v>
      </c>
      <c r="G1" t="s">
        <v>3</v>
      </c>
      <c r="H1" t="s">
        <v>7</v>
      </c>
      <c r="I1" t="s">
        <v>5</v>
      </c>
      <c r="J1" t="s">
        <v>4</v>
      </c>
      <c r="K1" t="s">
        <v>3</v>
      </c>
      <c r="L1" s="14" t="s">
        <v>234</v>
      </c>
      <c r="M1" s="14" t="s">
        <v>5</v>
      </c>
      <c r="N1" s="14" t="s">
        <v>4</v>
      </c>
      <c r="O1" s="14" t="s">
        <v>3</v>
      </c>
      <c r="P1" t="s">
        <v>235</v>
      </c>
      <c r="Q1" t="s">
        <v>236</v>
      </c>
      <c r="R1" t="s">
        <v>237</v>
      </c>
      <c r="S1" t="s">
        <v>238</v>
      </c>
      <c r="T1" t="s">
        <v>239</v>
      </c>
      <c r="U1" t="s">
        <v>5</v>
      </c>
      <c r="V1" t="s">
        <v>4</v>
      </c>
      <c r="W1" t="s">
        <v>3</v>
      </c>
      <c r="X1" s="14" t="s">
        <v>11</v>
      </c>
      <c r="Y1" s="14" t="s">
        <v>5</v>
      </c>
      <c r="Z1" s="14" t="s">
        <v>13</v>
      </c>
      <c r="AA1" s="14" t="s">
        <v>12</v>
      </c>
      <c r="AB1" t="s">
        <v>240</v>
      </c>
      <c r="AC1" t="s">
        <v>241</v>
      </c>
      <c r="AD1" t="s">
        <v>242</v>
      </c>
      <c r="AE1" t="s">
        <v>243</v>
      </c>
      <c r="AF1" t="s">
        <v>244</v>
      </c>
      <c r="AG1" t="s">
        <v>14</v>
      </c>
      <c r="AH1" t="s">
        <v>19</v>
      </c>
      <c r="AI1" t="s">
        <v>3</v>
      </c>
      <c r="AJ1" t="s">
        <v>245</v>
      </c>
      <c r="AK1" t="s">
        <v>14</v>
      </c>
      <c r="AL1" t="s">
        <v>19</v>
      </c>
      <c r="AM1" t="s">
        <v>3</v>
      </c>
      <c r="AN1" t="s">
        <v>246</v>
      </c>
      <c r="AO1" t="s">
        <v>14</v>
      </c>
      <c r="AP1" t="s">
        <v>19</v>
      </c>
      <c r="AQ1" t="s">
        <v>3</v>
      </c>
      <c r="AR1" t="s">
        <v>247</v>
      </c>
      <c r="AS1" t="s">
        <v>14</v>
      </c>
      <c r="AT1" t="s">
        <v>19</v>
      </c>
      <c r="AU1" t="s">
        <v>3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255</v>
      </c>
      <c r="BD1" t="s">
        <v>256</v>
      </c>
      <c r="BE1" t="s">
        <v>29</v>
      </c>
      <c r="BF1" t="s">
        <v>257</v>
      </c>
      <c r="BG1" t="s">
        <v>31</v>
      </c>
      <c r="BH1" s="1" t="s">
        <v>32</v>
      </c>
      <c r="BI1" t="s">
        <v>33</v>
      </c>
      <c r="BJ1" t="s">
        <v>42</v>
      </c>
      <c r="BK1" t="s">
        <v>258</v>
      </c>
      <c r="BL1" t="s">
        <v>259</v>
      </c>
      <c r="BM1" t="s">
        <v>41</v>
      </c>
    </row>
    <row r="2" spans="1:65" x14ac:dyDescent="0.25">
      <c r="A2">
        <v>1</v>
      </c>
      <c r="B2" s="2">
        <v>45266</v>
      </c>
      <c r="C2" t="s">
        <v>260</v>
      </c>
      <c r="D2" s="13">
        <v>-5.0999999999999996</v>
      </c>
      <c r="E2">
        <v>-6</v>
      </c>
      <c r="F2">
        <v>-4.5</v>
      </c>
      <c r="G2">
        <v>-2.8</v>
      </c>
      <c r="H2">
        <v>91.4</v>
      </c>
      <c r="I2">
        <v>85.9</v>
      </c>
      <c r="J2">
        <v>88.2</v>
      </c>
      <c r="K2">
        <v>90.8</v>
      </c>
      <c r="L2" s="14">
        <v>0</v>
      </c>
      <c r="M2" s="14">
        <v>0</v>
      </c>
      <c r="N2" s="14">
        <v>0.49399999999999999</v>
      </c>
      <c r="O2" s="15">
        <v>4.5919999999999996</v>
      </c>
      <c r="P2">
        <v>13.9</v>
      </c>
      <c r="Q2">
        <v>11.5</v>
      </c>
      <c r="R2">
        <v>10.4</v>
      </c>
      <c r="S2">
        <v>17.100000000000001</v>
      </c>
      <c r="T2">
        <v>1016.4</v>
      </c>
      <c r="U2">
        <v>1015.6</v>
      </c>
      <c r="V2">
        <v>1021.3</v>
      </c>
      <c r="W2">
        <v>1016.3</v>
      </c>
      <c r="AB2">
        <v>55.054166670000001</v>
      </c>
      <c r="AC2">
        <v>41.716666670000002</v>
      </c>
      <c r="AD2">
        <v>30.387499999999999</v>
      </c>
      <c r="AE2">
        <v>20.656521739999999</v>
      </c>
      <c r="AF2" s="3">
        <v>52</v>
      </c>
      <c r="AG2" s="3">
        <v>46.6</v>
      </c>
      <c r="AH2" s="3">
        <v>37.6</v>
      </c>
      <c r="AI2" s="3">
        <v>25.4</v>
      </c>
      <c r="AJ2">
        <v>32.308333330000004</v>
      </c>
      <c r="AK2">
        <v>37.308333330000004</v>
      </c>
      <c r="AL2">
        <v>26.50416667</v>
      </c>
      <c r="AM2">
        <v>12.39130435</v>
      </c>
      <c r="AN2">
        <v>8.7291666669999994</v>
      </c>
      <c r="AO2">
        <v>7.9625000000000004</v>
      </c>
      <c r="AP2">
        <v>7.4958333330000002</v>
      </c>
      <c r="AQ2">
        <v>4.9565217390000003</v>
      </c>
      <c r="AR2">
        <v>0.70416666699999997</v>
      </c>
      <c r="AS2">
        <v>0.69583333300000005</v>
      </c>
      <c r="AT2">
        <v>0.54166666699999999</v>
      </c>
      <c r="AU2">
        <v>0.42608695699999999</v>
      </c>
      <c r="AV2">
        <v>68</v>
      </c>
      <c r="AW2">
        <v>85</v>
      </c>
      <c r="AX2">
        <v>39</v>
      </c>
      <c r="AY2">
        <v>7.0000000000000001E-3</v>
      </c>
      <c r="AZ2">
        <v>0.05</v>
      </c>
      <c r="BA2">
        <v>-6</v>
      </c>
      <c r="BB2">
        <v>95</v>
      </c>
      <c r="BE2">
        <v>372</v>
      </c>
      <c r="BF2">
        <v>53</v>
      </c>
      <c r="BG2">
        <f>BF2/BE2</f>
        <v>0.1424731182795699</v>
      </c>
      <c r="BL2">
        <v>0</v>
      </c>
      <c r="BM2">
        <v>0</v>
      </c>
    </row>
    <row r="3" spans="1:65" x14ac:dyDescent="0.25">
      <c r="A3">
        <v>1</v>
      </c>
      <c r="B3" s="2">
        <v>45266</v>
      </c>
      <c r="C3" t="s">
        <v>261</v>
      </c>
      <c r="D3" s="13">
        <v>-5.0999999999999996</v>
      </c>
      <c r="E3">
        <v>-6</v>
      </c>
      <c r="F3">
        <v>-4.5</v>
      </c>
      <c r="G3">
        <v>-2.8</v>
      </c>
      <c r="H3">
        <v>91.2</v>
      </c>
      <c r="I3">
        <v>85.8</v>
      </c>
      <c r="J3">
        <v>88</v>
      </c>
      <c r="K3">
        <v>90.7</v>
      </c>
      <c r="L3" s="14">
        <v>0</v>
      </c>
      <c r="M3" s="14">
        <v>0</v>
      </c>
      <c r="N3" s="14">
        <v>0.72199999999999998</v>
      </c>
      <c r="O3" s="15">
        <v>5.2670000000000003</v>
      </c>
      <c r="P3">
        <v>13.8</v>
      </c>
      <c r="Q3">
        <v>11.5</v>
      </c>
      <c r="R3">
        <v>10.3</v>
      </c>
      <c r="S3">
        <v>16.8</v>
      </c>
      <c r="T3">
        <v>1016.7</v>
      </c>
      <c r="U3">
        <v>1015.9</v>
      </c>
      <c r="V3">
        <v>1021.6</v>
      </c>
      <c r="W3">
        <v>1016.6</v>
      </c>
      <c r="AB3">
        <v>61.7</v>
      </c>
      <c r="AC3">
        <v>49.5</v>
      </c>
      <c r="AD3">
        <v>34</v>
      </c>
      <c r="AE3">
        <v>19.5</v>
      </c>
      <c r="AF3" s="3">
        <v>52</v>
      </c>
      <c r="AG3" s="3">
        <v>46.6</v>
      </c>
      <c r="AH3" s="3">
        <v>37.6</v>
      </c>
      <c r="AI3" s="3">
        <v>25.4</v>
      </c>
      <c r="AJ3">
        <v>31.31666667</v>
      </c>
      <c r="AK3">
        <v>36.420833330000001</v>
      </c>
      <c r="AL3">
        <v>27.5</v>
      </c>
      <c r="AM3">
        <v>12.060869569999999</v>
      </c>
      <c r="AN3">
        <v>8.7291666669999994</v>
      </c>
      <c r="AO3">
        <v>7.9625000000000004</v>
      </c>
      <c r="AP3">
        <v>7.4958333330000002</v>
      </c>
      <c r="AQ3">
        <v>4.9565217390000003</v>
      </c>
      <c r="AR3">
        <v>0.70416666699999997</v>
      </c>
      <c r="AS3">
        <v>0.69583333300000005</v>
      </c>
      <c r="AT3">
        <v>0.54166666699999999</v>
      </c>
      <c r="AU3">
        <v>0.42608695699999999</v>
      </c>
      <c r="AV3">
        <v>81</v>
      </c>
      <c r="AW3">
        <v>106</v>
      </c>
      <c r="AX3">
        <v>51</v>
      </c>
      <c r="AY3">
        <v>2.5000000000000001E-2</v>
      </c>
      <c r="AZ3">
        <v>0.12</v>
      </c>
      <c r="BA3">
        <v>-4</v>
      </c>
      <c r="BB3">
        <v>99</v>
      </c>
      <c r="BE3">
        <v>118</v>
      </c>
      <c r="BF3">
        <v>15</v>
      </c>
      <c r="BG3">
        <f t="shared" ref="BG3:BG7" si="0">BF3/BE3</f>
        <v>0.1271186440677966</v>
      </c>
      <c r="BL3">
        <v>0</v>
      </c>
      <c r="BM3">
        <v>0</v>
      </c>
    </row>
    <row r="4" spans="1:65" x14ac:dyDescent="0.25">
      <c r="A4">
        <v>1</v>
      </c>
      <c r="B4" s="2">
        <v>45266</v>
      </c>
      <c r="C4" t="s">
        <v>262</v>
      </c>
      <c r="D4" s="13">
        <v>-5</v>
      </c>
      <c r="E4">
        <v>-6</v>
      </c>
      <c r="F4">
        <v>-4.5</v>
      </c>
      <c r="G4">
        <v>-2.8</v>
      </c>
      <c r="H4">
        <v>91.3</v>
      </c>
      <c r="I4">
        <v>86</v>
      </c>
      <c r="J4">
        <v>88.2</v>
      </c>
      <c r="K4">
        <v>90.8</v>
      </c>
      <c r="L4" s="14">
        <v>0</v>
      </c>
      <c r="M4" s="14">
        <v>0</v>
      </c>
      <c r="N4" s="14">
        <v>1.571</v>
      </c>
      <c r="O4" s="15">
        <v>7.7939999999999996</v>
      </c>
      <c r="P4">
        <v>13.8</v>
      </c>
      <c r="Q4">
        <v>11.4</v>
      </c>
      <c r="R4">
        <v>10.5</v>
      </c>
      <c r="S4">
        <v>16.8</v>
      </c>
      <c r="T4">
        <v>1016.8</v>
      </c>
      <c r="U4">
        <v>1015.9</v>
      </c>
      <c r="V4">
        <v>1021.6</v>
      </c>
      <c r="W4">
        <v>1016.7</v>
      </c>
      <c r="AF4" s="3">
        <v>52.76</v>
      </c>
      <c r="AG4" s="3"/>
      <c r="AH4" s="3"/>
      <c r="AI4" s="3"/>
      <c r="AJ4">
        <v>19.0625</v>
      </c>
      <c r="AK4">
        <v>23.020833329999999</v>
      </c>
      <c r="AL4">
        <v>24.1875</v>
      </c>
      <c r="AM4">
        <v>12.78695652</v>
      </c>
      <c r="AN4">
        <v>6.4958333330000002</v>
      </c>
      <c r="AO4">
        <v>7.0208333329999997</v>
      </c>
      <c r="AP4">
        <v>9.2708333330000006</v>
      </c>
      <c r="AQ4">
        <v>10.90869565</v>
      </c>
      <c r="AR4">
        <v>0.65416666700000003</v>
      </c>
      <c r="AS4">
        <v>0.68333333299999999</v>
      </c>
      <c r="AT4">
        <v>0.60416666699999999</v>
      </c>
      <c r="AU4">
        <v>0.53478260899999996</v>
      </c>
      <c r="AV4">
        <v>71</v>
      </c>
      <c r="AW4">
        <v>94</v>
      </c>
      <c r="AX4">
        <v>46</v>
      </c>
      <c r="AY4">
        <v>0.01</v>
      </c>
      <c r="AZ4">
        <v>4.4999999999999998E-2</v>
      </c>
      <c r="BA4">
        <v>-7</v>
      </c>
      <c r="BB4">
        <v>95</v>
      </c>
      <c r="BE4">
        <v>114</v>
      </c>
      <c r="BF4">
        <v>8</v>
      </c>
      <c r="BG4">
        <f t="shared" si="0"/>
        <v>7.0175438596491224E-2</v>
      </c>
      <c r="BL4">
        <v>0</v>
      </c>
      <c r="BM4">
        <v>0</v>
      </c>
    </row>
    <row r="5" spans="1:65" x14ac:dyDescent="0.25">
      <c r="A5">
        <v>2</v>
      </c>
      <c r="B5" s="2">
        <v>45351</v>
      </c>
      <c r="C5" t="s">
        <v>260</v>
      </c>
      <c r="D5">
        <v>7.1</v>
      </c>
      <c r="E5">
        <v>7.4</v>
      </c>
      <c r="F5">
        <v>9.6</v>
      </c>
      <c r="G5">
        <v>7.7</v>
      </c>
      <c r="H5">
        <v>93.9</v>
      </c>
      <c r="I5">
        <v>96.5</v>
      </c>
      <c r="J5">
        <v>79.8</v>
      </c>
      <c r="K5">
        <v>78.8</v>
      </c>
      <c r="L5" s="14">
        <v>0.105</v>
      </c>
      <c r="M5" s="14">
        <v>2.92</v>
      </c>
      <c r="N5" s="14">
        <v>9.7000000000000003E-2</v>
      </c>
      <c r="O5" s="14">
        <v>0</v>
      </c>
      <c r="P5">
        <v>9.6</v>
      </c>
      <c r="Q5">
        <v>5.8</v>
      </c>
      <c r="R5">
        <v>5.9</v>
      </c>
      <c r="S5">
        <v>9</v>
      </c>
      <c r="T5">
        <v>1020</v>
      </c>
      <c r="U5">
        <v>1018.3</v>
      </c>
      <c r="V5">
        <v>1012.8</v>
      </c>
      <c r="W5">
        <v>1007.4</v>
      </c>
      <c r="AB5">
        <v>29.125</v>
      </c>
      <c r="AC5">
        <v>40.811111109999999</v>
      </c>
      <c r="AD5">
        <v>52</v>
      </c>
      <c r="AE5">
        <v>47.05217391</v>
      </c>
      <c r="AF5">
        <v>21.8</v>
      </c>
      <c r="AG5">
        <v>37.5</v>
      </c>
      <c r="AH5">
        <v>29.8</v>
      </c>
      <c r="AI5">
        <v>17.7</v>
      </c>
      <c r="AJ5">
        <v>25.829166669999999</v>
      </c>
      <c r="AK5">
        <v>32.061111109999999</v>
      </c>
      <c r="AL5">
        <v>42.408333329999998</v>
      </c>
      <c r="AM5">
        <v>38.556521740000001</v>
      </c>
      <c r="AN5" s="9">
        <v>3.2625000000000002</v>
      </c>
      <c r="AO5">
        <v>3.3</v>
      </c>
      <c r="AP5">
        <v>5.4124999999999996</v>
      </c>
      <c r="AQ5">
        <v>5.3782608700000001</v>
      </c>
      <c r="AR5">
        <v>0.64583333300000001</v>
      </c>
      <c r="AS5">
        <v>4.4055555560000004</v>
      </c>
      <c r="AT5">
        <v>0.70833333300000001</v>
      </c>
      <c r="AU5">
        <v>0.67826087000000002</v>
      </c>
      <c r="AV5" s="8">
        <v>44.666670000000003</v>
      </c>
      <c r="AW5" s="8">
        <v>57</v>
      </c>
      <c r="AX5" s="8">
        <v>26.33333</v>
      </c>
      <c r="AY5" s="8">
        <v>2.5999999999999999E-2</v>
      </c>
      <c r="AZ5" s="8">
        <v>5.0333000000000003E-2</v>
      </c>
      <c r="BA5" s="8">
        <v>3.3333330000000001</v>
      </c>
      <c r="BB5" s="8">
        <v>91.333330000000004</v>
      </c>
      <c r="BC5" s="8"/>
      <c r="BD5" s="8"/>
      <c r="BE5">
        <v>559</v>
      </c>
      <c r="BF5">
        <v>118</v>
      </c>
      <c r="BG5">
        <f t="shared" si="0"/>
        <v>0.2110912343470483</v>
      </c>
    </row>
    <row r="6" spans="1:65" x14ac:dyDescent="0.25">
      <c r="A6">
        <v>2</v>
      </c>
      <c r="B6" s="2">
        <v>45351</v>
      </c>
      <c r="C6" t="s">
        <v>261</v>
      </c>
      <c r="D6">
        <v>7.1</v>
      </c>
      <c r="E6">
        <v>7.4</v>
      </c>
      <c r="F6">
        <v>9.5</v>
      </c>
      <c r="G6">
        <v>7.6</v>
      </c>
      <c r="H6">
        <v>94</v>
      </c>
      <c r="I6">
        <v>96.5</v>
      </c>
      <c r="J6">
        <v>80.099999999999994</v>
      </c>
      <c r="K6">
        <v>78.7</v>
      </c>
      <c r="L6" s="14">
        <v>0.107</v>
      </c>
      <c r="M6" s="14">
        <v>2.92</v>
      </c>
      <c r="N6" s="14">
        <v>9.4E-2</v>
      </c>
      <c r="O6" s="14">
        <v>0</v>
      </c>
      <c r="P6">
        <v>9.6</v>
      </c>
      <c r="Q6">
        <v>5.7</v>
      </c>
      <c r="R6">
        <v>5.9</v>
      </c>
      <c r="S6">
        <v>9</v>
      </c>
      <c r="T6">
        <v>1020.2</v>
      </c>
      <c r="U6">
        <v>1018.4</v>
      </c>
      <c r="V6">
        <v>1012.9</v>
      </c>
      <c r="W6">
        <v>1007.6</v>
      </c>
      <c r="AB6">
        <v>22.49583333</v>
      </c>
      <c r="AC6">
        <v>40.616666670000001</v>
      </c>
      <c r="AD6">
        <v>51.014285710000003</v>
      </c>
      <c r="AE6">
        <v>34.073913040000001</v>
      </c>
      <c r="AF6">
        <v>21.8</v>
      </c>
      <c r="AG6">
        <v>37.5</v>
      </c>
      <c r="AH6">
        <v>29.8</v>
      </c>
      <c r="AI6">
        <v>17.7</v>
      </c>
      <c r="AJ6">
        <v>21.408333330000001</v>
      </c>
      <c r="AK6">
        <v>33.483333330000001</v>
      </c>
      <c r="AL6">
        <v>32.9375</v>
      </c>
      <c r="AM6">
        <v>31.956521739999999</v>
      </c>
      <c r="AN6">
        <v>3.2625000000000002</v>
      </c>
      <c r="AO6">
        <v>3.3</v>
      </c>
      <c r="AP6">
        <v>5.4124999999999996</v>
      </c>
      <c r="AQ6">
        <v>5.3782608700000001</v>
      </c>
      <c r="AR6" s="9">
        <v>0.64583333300000001</v>
      </c>
      <c r="AS6">
        <v>4.4055555560000004</v>
      </c>
      <c r="AT6">
        <v>0.70833333300000001</v>
      </c>
      <c r="AU6">
        <v>0.67826087000000002</v>
      </c>
      <c r="AV6" s="8">
        <v>37.333329999999997</v>
      </c>
      <c r="AW6" s="8">
        <v>47.333329999999997</v>
      </c>
      <c r="AX6" s="8">
        <v>22</v>
      </c>
      <c r="AY6" s="8">
        <v>3.6666999999999998E-2</v>
      </c>
      <c r="AZ6" s="8">
        <v>0.20266700000000001</v>
      </c>
      <c r="BA6" s="8">
        <v>7.6666670000000003</v>
      </c>
      <c r="BB6" s="8">
        <v>69.666669999999996</v>
      </c>
      <c r="BC6" s="8"/>
      <c r="BD6" s="8"/>
      <c r="BE6">
        <v>247</v>
      </c>
      <c r="BF6">
        <v>30</v>
      </c>
      <c r="BG6">
        <f t="shared" si="0"/>
        <v>0.1214574898785425</v>
      </c>
    </row>
    <row r="7" spans="1:65" x14ac:dyDescent="0.25">
      <c r="A7">
        <v>2</v>
      </c>
      <c r="B7" s="2">
        <v>45351</v>
      </c>
      <c r="C7" t="s">
        <v>262</v>
      </c>
      <c r="D7">
        <v>7.1</v>
      </c>
      <c r="E7">
        <v>7.4</v>
      </c>
      <c r="F7">
        <v>9.5</v>
      </c>
      <c r="G7">
        <v>7.7</v>
      </c>
      <c r="H7">
        <v>94</v>
      </c>
      <c r="I7">
        <v>96.5</v>
      </c>
      <c r="J7">
        <v>80.3</v>
      </c>
      <c r="K7">
        <v>78.3</v>
      </c>
      <c r="L7" s="14">
        <v>0.115</v>
      </c>
      <c r="M7" s="14">
        <v>2.9420000000000002</v>
      </c>
      <c r="N7" s="14">
        <v>8.5000000000000006E-2</v>
      </c>
      <c r="O7" s="14">
        <v>0</v>
      </c>
      <c r="P7">
        <v>9.5</v>
      </c>
      <c r="Q7">
        <v>5.9</v>
      </c>
      <c r="R7">
        <v>5.9</v>
      </c>
      <c r="S7">
        <v>9</v>
      </c>
      <c r="T7">
        <v>1020.2</v>
      </c>
      <c r="U7">
        <v>1018.5</v>
      </c>
      <c r="V7">
        <v>1012.9</v>
      </c>
      <c r="W7">
        <v>1007.6</v>
      </c>
      <c r="AB7">
        <v>28.233333330000001</v>
      </c>
      <c r="AC7">
        <v>59.883333329999999</v>
      </c>
      <c r="AD7">
        <v>50.895833330000002</v>
      </c>
      <c r="AE7">
        <v>24.48695652</v>
      </c>
      <c r="AF7">
        <v>25.05833333</v>
      </c>
      <c r="AG7">
        <v>50.17777778</v>
      </c>
      <c r="AH7">
        <v>41.154166670000002</v>
      </c>
      <c r="AI7">
        <v>19.191304349999999</v>
      </c>
      <c r="AJ7">
        <v>10.5</v>
      </c>
      <c r="AK7">
        <v>31.855555559999999</v>
      </c>
      <c r="AL7">
        <v>27.116666670000001</v>
      </c>
      <c r="AM7">
        <v>15.87391304</v>
      </c>
      <c r="AN7">
        <v>2.329166667</v>
      </c>
      <c r="AO7">
        <v>5.14</v>
      </c>
      <c r="AP7">
        <v>7.1958333330000004</v>
      </c>
      <c r="AQ7">
        <v>4.3739130429999999</v>
      </c>
      <c r="AR7">
        <v>0.34583333300000002</v>
      </c>
      <c r="AS7">
        <v>4.1888888890000002</v>
      </c>
      <c r="AT7">
        <v>0.54583333300000003</v>
      </c>
      <c r="AU7">
        <v>0.38695652200000002</v>
      </c>
      <c r="AV7" s="8">
        <v>37.666670000000003</v>
      </c>
      <c r="AW7" s="8">
        <v>49</v>
      </c>
      <c r="AX7" s="8">
        <v>23</v>
      </c>
      <c r="AY7" s="8">
        <v>4.9667000000000003E-2</v>
      </c>
      <c r="AZ7" s="8">
        <v>0.26500000000000001</v>
      </c>
      <c r="BA7" s="8">
        <v>7.6666670000000003</v>
      </c>
      <c r="BB7" s="8">
        <v>72.333330000000004</v>
      </c>
      <c r="BC7" s="8"/>
      <c r="BD7" s="8"/>
      <c r="BE7">
        <v>395</v>
      </c>
      <c r="BF7">
        <v>27</v>
      </c>
      <c r="BG7">
        <f t="shared" si="0"/>
        <v>6.8354430379746839E-2</v>
      </c>
    </row>
    <row r="8" spans="1:65" x14ac:dyDescent="0.25">
      <c r="A8">
        <v>3</v>
      </c>
      <c r="B8" s="2">
        <v>45422</v>
      </c>
      <c r="C8" t="s">
        <v>260</v>
      </c>
      <c r="D8">
        <v>11.5</v>
      </c>
      <c r="E8">
        <v>11.1</v>
      </c>
      <c r="F8">
        <v>11.4</v>
      </c>
      <c r="G8">
        <v>11.1</v>
      </c>
      <c r="H8">
        <v>65.7</v>
      </c>
      <c r="I8">
        <v>53.4</v>
      </c>
      <c r="J8">
        <v>52.8</v>
      </c>
      <c r="K8">
        <v>71.2</v>
      </c>
      <c r="L8">
        <v>0</v>
      </c>
      <c r="M8">
        <v>0</v>
      </c>
      <c r="N8">
        <v>0</v>
      </c>
      <c r="O8">
        <v>7.0000000000000001E-3</v>
      </c>
      <c r="P8">
        <v>6.5</v>
      </c>
      <c r="Q8">
        <v>6</v>
      </c>
      <c r="R8">
        <v>10.6</v>
      </c>
      <c r="S8">
        <v>11.1</v>
      </c>
      <c r="T8">
        <v>1022.2</v>
      </c>
      <c r="U8">
        <v>1024.8</v>
      </c>
      <c r="V8">
        <v>1023.5</v>
      </c>
      <c r="W8">
        <v>1014.5</v>
      </c>
      <c r="AB8">
        <v>29.107692310000001</v>
      </c>
      <c r="AC8">
        <v>27.85</v>
      </c>
      <c r="AD8">
        <v>25.945833329999999</v>
      </c>
      <c r="AE8">
        <v>21.73478261</v>
      </c>
      <c r="AF8">
        <v>3.4</v>
      </c>
      <c r="AG8">
        <v>10.9</v>
      </c>
      <c r="AH8">
        <v>4.4000000000000004</v>
      </c>
      <c r="AI8">
        <v>6.9</v>
      </c>
      <c r="AJ8">
        <v>42.241666670000001</v>
      </c>
      <c r="AK8">
        <v>38.733333330000001</v>
      </c>
      <c r="AL8">
        <v>28.99583333</v>
      </c>
      <c r="AM8">
        <v>30.473913039999999</v>
      </c>
      <c r="AN8">
        <v>2.8333333330000001</v>
      </c>
      <c r="AO8">
        <v>2.295833333</v>
      </c>
      <c r="AP8">
        <v>2.4083333329999999</v>
      </c>
      <c r="AQ8">
        <v>1.782608696</v>
      </c>
      <c r="AR8">
        <v>0.54166666699999999</v>
      </c>
      <c r="AS8">
        <v>0.47083333300000002</v>
      </c>
      <c r="AT8">
        <v>0.35</v>
      </c>
      <c r="AU8">
        <v>0.39130434800000002</v>
      </c>
      <c r="AV8">
        <v>13.33333333</v>
      </c>
      <c r="AW8">
        <v>16.333333329999999</v>
      </c>
      <c r="AX8">
        <v>7.6666666670000003</v>
      </c>
      <c r="AY8">
        <v>3.9666667000000003E-2</v>
      </c>
      <c r="AZ8">
        <v>0.18366666700000001</v>
      </c>
      <c r="BA8">
        <v>15.33333333</v>
      </c>
      <c r="BB8">
        <v>44</v>
      </c>
    </row>
    <row r="9" spans="1:65" x14ac:dyDescent="0.25">
      <c r="A9">
        <v>3</v>
      </c>
      <c r="B9" s="2">
        <v>45422</v>
      </c>
      <c r="C9" t="s">
        <v>261</v>
      </c>
      <c r="D9">
        <v>11.5</v>
      </c>
      <c r="E9">
        <v>11.1</v>
      </c>
      <c r="F9">
        <v>11.3</v>
      </c>
      <c r="G9">
        <v>11.1</v>
      </c>
      <c r="H9">
        <v>65.8</v>
      </c>
      <c r="I9">
        <v>53.6</v>
      </c>
      <c r="J9">
        <v>53</v>
      </c>
      <c r="K9">
        <v>71.3</v>
      </c>
      <c r="L9">
        <v>0</v>
      </c>
      <c r="M9">
        <v>0</v>
      </c>
      <c r="N9">
        <v>0</v>
      </c>
      <c r="O9">
        <v>1.6E-2</v>
      </c>
      <c r="P9">
        <v>6.5</v>
      </c>
      <c r="Q9">
        <v>5.9</v>
      </c>
      <c r="R9">
        <v>10.4</v>
      </c>
      <c r="S9">
        <v>10.9</v>
      </c>
      <c r="T9">
        <v>1022.3</v>
      </c>
      <c r="U9">
        <v>1025</v>
      </c>
      <c r="V9">
        <v>1023.6</v>
      </c>
      <c r="W9">
        <v>1014.6</v>
      </c>
      <c r="AB9">
        <v>35.208333330000002</v>
      </c>
      <c r="AC9">
        <v>20.925000000000001</v>
      </c>
      <c r="AD9">
        <v>19.762499999999999</v>
      </c>
      <c r="AE9">
        <v>14.08636364</v>
      </c>
      <c r="AF9">
        <v>3.4</v>
      </c>
      <c r="AG9">
        <v>10.9</v>
      </c>
      <c r="AH9">
        <v>4.4000000000000004</v>
      </c>
      <c r="AI9">
        <v>6.9</v>
      </c>
      <c r="AJ9">
        <v>32.200000000000003</v>
      </c>
      <c r="AK9">
        <v>22.612500000000001</v>
      </c>
      <c r="AL9">
        <v>17.195833329999999</v>
      </c>
      <c r="AM9">
        <v>13.817391300000001</v>
      </c>
      <c r="AN9">
        <v>2.8333333330000001</v>
      </c>
      <c r="AO9">
        <v>2.295833333</v>
      </c>
      <c r="AP9">
        <v>2.4083333329999999</v>
      </c>
      <c r="AQ9">
        <v>1.782608696</v>
      </c>
      <c r="AR9">
        <v>0.54166666699999999</v>
      </c>
      <c r="AS9">
        <v>0.47083333300000002</v>
      </c>
      <c r="AT9">
        <v>0.35</v>
      </c>
      <c r="AU9">
        <v>0.39130434800000002</v>
      </c>
      <c r="AV9">
        <v>15.66666667</v>
      </c>
      <c r="AW9">
        <v>20</v>
      </c>
      <c r="AX9">
        <v>9</v>
      </c>
      <c r="AY9">
        <v>2.2333333E-2</v>
      </c>
      <c r="AZ9">
        <v>0.10866666699999999</v>
      </c>
      <c r="BA9">
        <v>17.666666670000001</v>
      </c>
      <c r="BB9">
        <v>37.333333330000002</v>
      </c>
    </row>
    <row r="10" spans="1:65" x14ac:dyDescent="0.25">
      <c r="A10">
        <v>3</v>
      </c>
      <c r="B10" s="2">
        <v>45422</v>
      </c>
      <c r="C10" t="s">
        <v>262</v>
      </c>
      <c r="D10">
        <v>11.5</v>
      </c>
      <c r="E10">
        <v>11.1</v>
      </c>
      <c r="F10">
        <v>11.3</v>
      </c>
      <c r="G10">
        <v>11.1</v>
      </c>
      <c r="H10">
        <v>65.5</v>
      </c>
      <c r="I10">
        <v>53.4</v>
      </c>
      <c r="J10">
        <v>53.3</v>
      </c>
      <c r="K10">
        <v>71.3</v>
      </c>
      <c r="L10">
        <v>0</v>
      </c>
      <c r="M10">
        <v>0</v>
      </c>
      <c r="N10">
        <v>0</v>
      </c>
      <c r="O10">
        <v>0.04</v>
      </c>
      <c r="P10">
        <v>6.4</v>
      </c>
      <c r="Q10">
        <v>5.7</v>
      </c>
      <c r="R10">
        <v>10.199999999999999</v>
      </c>
      <c r="S10">
        <v>10.5</v>
      </c>
      <c r="T10">
        <v>1022.3</v>
      </c>
      <c r="U10">
        <v>1025</v>
      </c>
      <c r="V10">
        <v>1023.6</v>
      </c>
      <c r="W10">
        <v>1014.7</v>
      </c>
      <c r="AB10">
        <v>26.4</v>
      </c>
      <c r="AC10">
        <v>19.5</v>
      </c>
      <c r="AD10">
        <v>18.2</v>
      </c>
      <c r="AE10">
        <v>16.5</v>
      </c>
      <c r="AF10">
        <v>10.3</v>
      </c>
      <c r="AG10">
        <v>7.0666666669999998</v>
      </c>
      <c r="AH10">
        <v>8.6458333330000006</v>
      </c>
      <c r="AI10">
        <v>8.0565217390000008</v>
      </c>
      <c r="AJ10">
        <v>17.350000000000001</v>
      </c>
      <c r="AK10">
        <v>10.554166670000001</v>
      </c>
      <c r="AL10">
        <v>9.1875</v>
      </c>
      <c r="AM10">
        <v>8.5043478260000001</v>
      </c>
      <c r="AN10">
        <v>2.2000000000000002</v>
      </c>
      <c r="AO10">
        <v>2</v>
      </c>
      <c r="AP10">
        <v>2</v>
      </c>
      <c r="AQ10">
        <v>1.4</v>
      </c>
      <c r="AR10">
        <v>0.383333333</v>
      </c>
      <c r="AT10">
        <v>0.22916666699999999</v>
      </c>
      <c r="AU10">
        <v>0.29130434799999999</v>
      </c>
      <c r="AV10">
        <v>15.33333333</v>
      </c>
      <c r="AW10">
        <v>19</v>
      </c>
      <c r="AX10">
        <v>8.6666666669999994</v>
      </c>
      <c r="AY10">
        <v>3.2666667000000003E-2</v>
      </c>
      <c r="AZ10">
        <v>0.171666667</v>
      </c>
      <c r="BA10">
        <v>17.666666670000001</v>
      </c>
      <c r="BB10">
        <v>40.333333330000002</v>
      </c>
    </row>
    <row r="11" spans="1:65" x14ac:dyDescent="0.25">
      <c r="A11">
        <v>4</v>
      </c>
      <c r="B11" s="2">
        <v>45490</v>
      </c>
      <c r="C11" t="s">
        <v>260</v>
      </c>
      <c r="D11">
        <v>21.8</v>
      </c>
      <c r="E11">
        <v>24.8</v>
      </c>
      <c r="F11">
        <v>24.3</v>
      </c>
      <c r="G11">
        <v>21</v>
      </c>
      <c r="H11">
        <v>68.7</v>
      </c>
      <c r="I11">
        <v>68.8</v>
      </c>
      <c r="J11">
        <v>64.7</v>
      </c>
      <c r="K11">
        <v>67.8</v>
      </c>
      <c r="L11" s="14">
        <v>0</v>
      </c>
      <c r="M11" s="14">
        <v>1E-3</v>
      </c>
      <c r="N11" s="14">
        <v>1.2999999999999999E-2</v>
      </c>
      <c r="O11" s="14">
        <v>4.1859999999999999</v>
      </c>
      <c r="P11">
        <v>9</v>
      </c>
      <c r="Q11">
        <v>10</v>
      </c>
      <c r="R11">
        <v>7.4</v>
      </c>
      <c r="S11">
        <v>7.3</v>
      </c>
      <c r="T11">
        <v>1018.1</v>
      </c>
      <c r="U11">
        <v>1012.3</v>
      </c>
      <c r="V11">
        <v>1014.6</v>
      </c>
      <c r="W11">
        <v>1014.5</v>
      </c>
      <c r="AB11">
        <v>14.362500000000001</v>
      </c>
      <c r="AC11">
        <v>21.095833330000001</v>
      </c>
      <c r="AD11">
        <v>10.1</v>
      </c>
      <c r="AF11">
        <v>5.5</v>
      </c>
      <c r="AG11">
        <v>12</v>
      </c>
      <c r="AH11">
        <v>5.2</v>
      </c>
      <c r="AI11">
        <v>1.6</v>
      </c>
      <c r="AJ11">
        <v>19.162500000000001</v>
      </c>
      <c r="AK11">
        <v>21.387499999999999</v>
      </c>
      <c r="AL11">
        <v>22.766666669999999</v>
      </c>
      <c r="AM11">
        <v>14.65217391</v>
      </c>
      <c r="AN11">
        <v>2.0333333329999999</v>
      </c>
      <c r="AO11">
        <v>2.2833333329999999</v>
      </c>
      <c r="AP11">
        <v>2.0083333329999999</v>
      </c>
      <c r="AQ11">
        <v>1.6782608699999999</v>
      </c>
      <c r="AR11">
        <v>0.42083333299999998</v>
      </c>
      <c r="AS11">
        <v>0.50416666700000001</v>
      </c>
      <c r="AT11">
        <v>0.47083333300000002</v>
      </c>
      <c r="AU11">
        <v>0.42608695699999999</v>
      </c>
      <c r="AV11" s="8">
        <v>11.66667</v>
      </c>
      <c r="AW11" s="8">
        <v>14.66667</v>
      </c>
      <c r="AX11" s="8">
        <v>6.6666670000000003</v>
      </c>
      <c r="AY11" s="8">
        <v>2.7333E-2</v>
      </c>
      <c r="AZ11" s="8">
        <v>0.150667</v>
      </c>
      <c r="BA11" s="8">
        <v>27.33333</v>
      </c>
      <c r="BB11" s="8">
        <v>33.333329999999997</v>
      </c>
      <c r="BC11">
        <v>1012</v>
      </c>
      <c r="BD11">
        <v>167</v>
      </c>
    </row>
    <row r="12" spans="1:65" x14ac:dyDescent="0.25">
      <c r="A12">
        <v>4</v>
      </c>
      <c r="B12" s="2">
        <v>45490</v>
      </c>
      <c r="C12" t="s">
        <v>261</v>
      </c>
      <c r="D12">
        <v>21.8</v>
      </c>
      <c r="E12">
        <v>24.7</v>
      </c>
      <c r="F12">
        <v>24.2</v>
      </c>
      <c r="G12">
        <v>21</v>
      </c>
      <c r="H12">
        <v>68.7</v>
      </c>
      <c r="I12">
        <v>69.2</v>
      </c>
      <c r="J12">
        <v>65.099999999999994</v>
      </c>
      <c r="K12">
        <v>67.900000000000006</v>
      </c>
      <c r="L12" s="14">
        <v>0</v>
      </c>
      <c r="M12" s="14">
        <v>2E-3</v>
      </c>
      <c r="N12" s="14">
        <v>3.5000000000000003E-2</v>
      </c>
      <c r="O12" s="14">
        <v>4.1390000000000002</v>
      </c>
      <c r="P12">
        <v>8.9</v>
      </c>
      <c r="Q12">
        <v>10</v>
      </c>
      <c r="R12">
        <v>7.4</v>
      </c>
      <c r="S12">
        <v>7.3</v>
      </c>
      <c r="T12">
        <v>1018.1</v>
      </c>
      <c r="U12">
        <v>1012.2</v>
      </c>
      <c r="V12">
        <v>1014.6</v>
      </c>
      <c r="W12">
        <v>1014.6</v>
      </c>
      <c r="AB12">
        <v>15.5</v>
      </c>
      <c r="AC12">
        <v>23.916666670000001</v>
      </c>
      <c r="AD12">
        <v>13.829166669999999</v>
      </c>
      <c r="AE12">
        <v>7.8636363640000004</v>
      </c>
      <c r="AF12">
        <v>5.5</v>
      </c>
      <c r="AG12">
        <v>12</v>
      </c>
      <c r="AH12">
        <v>5.2</v>
      </c>
      <c r="AI12">
        <v>1.6</v>
      </c>
      <c r="AJ12">
        <v>17.375</v>
      </c>
      <c r="AK12">
        <v>18.220833330000001</v>
      </c>
      <c r="AL12">
        <v>16.75</v>
      </c>
      <c r="AM12">
        <v>12.26521739</v>
      </c>
      <c r="AN12">
        <v>2.0333333329999999</v>
      </c>
      <c r="AO12">
        <v>2.2833333329999999</v>
      </c>
      <c r="AP12">
        <v>2.0083333329999999</v>
      </c>
      <c r="AQ12">
        <v>1.6782608699999999</v>
      </c>
      <c r="AR12">
        <v>0.42083333299999998</v>
      </c>
      <c r="AS12">
        <v>0.50416666700000001</v>
      </c>
      <c r="AT12">
        <v>0.47083333300000002</v>
      </c>
      <c r="AU12">
        <v>0.42608695699999999</v>
      </c>
      <c r="AV12" s="8">
        <v>12.33333</v>
      </c>
      <c r="AW12" s="8">
        <v>15.33333</v>
      </c>
      <c r="AX12" s="8">
        <v>7</v>
      </c>
      <c r="AY12" s="8">
        <v>1.7666999999999999E-2</v>
      </c>
      <c r="AZ12" s="8">
        <v>8.5333000000000006E-2</v>
      </c>
      <c r="BA12" s="8">
        <v>23.66667</v>
      </c>
      <c r="BB12" s="8">
        <v>44.666670000000003</v>
      </c>
      <c r="BC12">
        <v>1017</v>
      </c>
      <c r="BD12">
        <v>205</v>
      </c>
    </row>
    <row r="13" spans="1:65" x14ac:dyDescent="0.25">
      <c r="A13">
        <v>4</v>
      </c>
      <c r="B13" s="2">
        <v>45490</v>
      </c>
      <c r="C13" t="s">
        <v>262</v>
      </c>
      <c r="D13">
        <v>21.9</v>
      </c>
      <c r="E13">
        <v>24.7</v>
      </c>
      <c r="F13">
        <v>24.2</v>
      </c>
      <c r="G13">
        <v>20.9</v>
      </c>
      <c r="H13">
        <v>68.7</v>
      </c>
      <c r="I13">
        <v>69.099999999999994</v>
      </c>
      <c r="J13">
        <v>65.3</v>
      </c>
      <c r="K13">
        <v>68</v>
      </c>
      <c r="L13" s="14">
        <v>0</v>
      </c>
      <c r="M13" s="14">
        <v>7.0000000000000001E-3</v>
      </c>
      <c r="N13" s="14">
        <v>0.121</v>
      </c>
      <c r="O13" s="14">
        <v>3.8940000000000001</v>
      </c>
      <c r="P13">
        <v>8.9</v>
      </c>
      <c r="Q13">
        <v>10.1</v>
      </c>
      <c r="R13">
        <v>7.4</v>
      </c>
      <c r="S13">
        <v>7.2</v>
      </c>
      <c r="T13">
        <v>1018.1</v>
      </c>
      <c r="U13">
        <v>1012.2</v>
      </c>
      <c r="V13">
        <v>1014.6</v>
      </c>
      <c r="W13">
        <v>1014.6</v>
      </c>
      <c r="AB13">
        <v>15.12083333</v>
      </c>
      <c r="AC13">
        <v>21.891666669999999</v>
      </c>
      <c r="AD13">
        <v>13.15833333</v>
      </c>
      <c r="AE13">
        <v>6.8956521740000003</v>
      </c>
      <c r="AF13">
        <v>7.5833333329999997</v>
      </c>
      <c r="AG13">
        <v>13.08333333</v>
      </c>
      <c r="AH13">
        <v>8.3166666669999998</v>
      </c>
      <c r="AI13">
        <v>4.5043478260000001</v>
      </c>
      <c r="AJ13">
        <v>11.06666667</v>
      </c>
      <c r="AK13">
        <v>9.0416666669999994</v>
      </c>
      <c r="AL13">
        <v>8.2666666670000009</v>
      </c>
      <c r="AM13">
        <v>3.9478260870000002</v>
      </c>
      <c r="AN13">
        <v>1.6791666670000001</v>
      </c>
      <c r="AO13">
        <v>1.7375</v>
      </c>
      <c r="AP13">
        <v>1.795833333</v>
      </c>
      <c r="AQ13">
        <v>1.4652173909999999</v>
      </c>
      <c r="AR13">
        <v>0.35833333299999998</v>
      </c>
      <c r="AS13">
        <v>0.40833333300000002</v>
      </c>
      <c r="AT13">
        <v>0.35</v>
      </c>
      <c r="AU13">
        <v>0.31304347799999999</v>
      </c>
      <c r="AV13" s="8">
        <v>11.33333</v>
      </c>
      <c r="AW13" s="8">
        <v>13.33333</v>
      </c>
      <c r="AX13" s="8">
        <v>6</v>
      </c>
      <c r="AY13" s="8">
        <v>2.7E-2</v>
      </c>
      <c r="AZ13" s="8">
        <v>0.13633300000000001</v>
      </c>
      <c r="BA13" s="8">
        <v>26.33333</v>
      </c>
      <c r="BB13" s="8">
        <v>39.333329999999997</v>
      </c>
      <c r="BC13">
        <v>1018</v>
      </c>
      <c r="BD13">
        <v>214</v>
      </c>
    </row>
    <row r="14" spans="1:65" x14ac:dyDescent="0.25">
      <c r="A14">
        <v>5</v>
      </c>
      <c r="B14" s="2">
        <v>45555</v>
      </c>
      <c r="C14" t="s">
        <v>260</v>
      </c>
      <c r="D14">
        <v>15.8</v>
      </c>
      <c r="E14">
        <v>16</v>
      </c>
      <c r="F14">
        <v>16.8</v>
      </c>
      <c r="G14">
        <v>18.899999999999999</v>
      </c>
      <c r="H14">
        <v>51.3</v>
      </c>
      <c r="I14">
        <v>68</v>
      </c>
      <c r="J14">
        <v>71.400000000000006</v>
      </c>
      <c r="K14">
        <v>59.6</v>
      </c>
      <c r="L14" s="14">
        <v>0</v>
      </c>
      <c r="M14" s="14">
        <v>0</v>
      </c>
      <c r="N14" s="14">
        <v>0</v>
      </c>
      <c r="O14" s="14">
        <v>0</v>
      </c>
      <c r="P14">
        <v>11.8</v>
      </c>
      <c r="Q14">
        <v>12.9</v>
      </c>
      <c r="R14">
        <v>7</v>
      </c>
      <c r="S14">
        <v>13.5</v>
      </c>
      <c r="T14">
        <v>1028.0999999999999</v>
      </c>
      <c r="U14">
        <v>1027.0999999999999</v>
      </c>
      <c r="V14">
        <v>1027.5999999999999</v>
      </c>
      <c r="W14">
        <v>1024.0999999999999</v>
      </c>
      <c r="AB14">
        <v>39.966666670000002</v>
      </c>
      <c r="AC14">
        <v>33.804166670000001</v>
      </c>
      <c r="AD14">
        <v>52.470833329999998</v>
      </c>
      <c r="AE14">
        <v>54.878260869999998</v>
      </c>
      <c r="AF14">
        <v>18.100000000000001</v>
      </c>
      <c r="AG14">
        <v>15.3</v>
      </c>
      <c r="AH14">
        <v>23.1</v>
      </c>
      <c r="AI14">
        <v>25.7</v>
      </c>
      <c r="AJ14">
        <v>33.816666669999996</v>
      </c>
      <c r="AK14">
        <v>34.820833329999999</v>
      </c>
      <c r="AL14">
        <v>54.429166670000001</v>
      </c>
      <c r="AM14">
        <v>44.9</v>
      </c>
      <c r="AN14">
        <v>2.8458333329999999</v>
      </c>
      <c r="AO14">
        <v>2.3958333330000001</v>
      </c>
      <c r="AP14">
        <v>2.4624999999999999</v>
      </c>
      <c r="AQ14">
        <v>2.5130434780000002</v>
      </c>
      <c r="AR14">
        <v>0.53333333299999997</v>
      </c>
      <c r="AS14">
        <v>0.50416666700000001</v>
      </c>
      <c r="AT14">
        <v>0.7</v>
      </c>
      <c r="AU14">
        <v>0.61304347800000003</v>
      </c>
      <c r="AV14" s="8">
        <v>19.66667</v>
      </c>
      <c r="AW14" s="8">
        <v>24.66667</v>
      </c>
      <c r="AX14" s="8">
        <v>11.33333</v>
      </c>
      <c r="AY14" s="8">
        <v>3.4000000000000002E-2</v>
      </c>
      <c r="AZ14" s="8">
        <v>0.159667</v>
      </c>
      <c r="BA14" s="8">
        <v>17</v>
      </c>
      <c r="BB14" s="8">
        <v>34.333329999999997</v>
      </c>
      <c r="BC14">
        <v>1012</v>
      </c>
      <c r="BD14">
        <v>162</v>
      </c>
    </row>
    <row r="15" spans="1:65" x14ac:dyDescent="0.25">
      <c r="A15">
        <v>5</v>
      </c>
      <c r="B15" s="2">
        <v>45555</v>
      </c>
      <c r="C15" t="s">
        <v>261</v>
      </c>
      <c r="D15">
        <v>15.6</v>
      </c>
      <c r="E15">
        <v>15.9</v>
      </c>
      <c r="F15">
        <v>16.8</v>
      </c>
      <c r="G15">
        <v>18.8</v>
      </c>
      <c r="H15">
        <v>52.1</v>
      </c>
      <c r="I15">
        <v>68.5</v>
      </c>
      <c r="J15">
        <v>71.8</v>
      </c>
      <c r="K15">
        <v>60.3</v>
      </c>
      <c r="L15" s="14">
        <v>0</v>
      </c>
      <c r="M15" s="14">
        <v>0</v>
      </c>
      <c r="N15" s="14">
        <v>1E-3</v>
      </c>
      <c r="O15" s="14">
        <v>0</v>
      </c>
      <c r="P15">
        <v>11.5</v>
      </c>
      <c r="Q15">
        <v>12.6</v>
      </c>
      <c r="R15">
        <v>6.9</v>
      </c>
      <c r="S15">
        <v>13.2</v>
      </c>
      <c r="T15">
        <v>1028.2</v>
      </c>
      <c r="U15">
        <v>1027.2</v>
      </c>
      <c r="V15">
        <v>1027.7</v>
      </c>
      <c r="W15">
        <v>1024.2</v>
      </c>
      <c r="AB15">
        <v>33.462499999999999</v>
      </c>
      <c r="AC15">
        <v>26.429166670000001</v>
      </c>
      <c r="AD15">
        <v>35.8125</v>
      </c>
      <c r="AE15">
        <v>44.243478260000003</v>
      </c>
      <c r="AF15">
        <v>18.100000000000001</v>
      </c>
      <c r="AG15">
        <v>15.3</v>
      </c>
      <c r="AH15">
        <v>23.1</v>
      </c>
      <c r="AI15">
        <v>25.7</v>
      </c>
      <c r="AJ15">
        <v>22.258333329999999</v>
      </c>
      <c r="AK15">
        <v>20.18333333</v>
      </c>
      <c r="AL15">
        <v>35.270833330000002</v>
      </c>
      <c r="AM15">
        <v>29.126086959999999</v>
      </c>
      <c r="AN15">
        <v>2.8458333329999999</v>
      </c>
      <c r="AO15">
        <v>2.3958333330000001</v>
      </c>
      <c r="AP15">
        <v>2.4624999999999999</v>
      </c>
      <c r="AQ15">
        <v>2.5130434780000002</v>
      </c>
      <c r="AR15">
        <v>0.53333333299999997</v>
      </c>
      <c r="AS15">
        <v>0.50416666700000001</v>
      </c>
      <c r="AT15">
        <v>0.7</v>
      </c>
      <c r="AU15">
        <v>0.61304347800000003</v>
      </c>
      <c r="AV15" s="8">
        <v>22</v>
      </c>
      <c r="AW15" s="8">
        <v>28.33333</v>
      </c>
      <c r="AX15" s="8">
        <v>13</v>
      </c>
      <c r="AY15" s="8">
        <v>2.5000000000000001E-2</v>
      </c>
      <c r="AZ15" s="8">
        <v>0.112</v>
      </c>
      <c r="BA15" s="8">
        <v>16</v>
      </c>
      <c r="BB15" s="8">
        <v>36.666670000000003</v>
      </c>
      <c r="BC15">
        <v>1020</v>
      </c>
      <c r="BD15">
        <v>230</v>
      </c>
    </row>
    <row r="16" spans="1:65" x14ac:dyDescent="0.25">
      <c r="A16">
        <v>5</v>
      </c>
      <c r="B16" s="2">
        <v>45555</v>
      </c>
      <c r="C16" t="s">
        <v>262</v>
      </c>
      <c r="D16">
        <v>15.6</v>
      </c>
      <c r="E16">
        <v>15.9</v>
      </c>
      <c r="F16">
        <v>16.8</v>
      </c>
      <c r="G16">
        <v>18.7</v>
      </c>
      <c r="H16">
        <v>52.8</v>
      </c>
      <c r="I16">
        <v>68.7</v>
      </c>
      <c r="J16">
        <v>71.400000000000006</v>
      </c>
      <c r="K16">
        <v>60.9</v>
      </c>
      <c r="L16" s="14">
        <v>0</v>
      </c>
      <c r="M16" s="14">
        <v>0</v>
      </c>
      <c r="N16" s="14">
        <v>3.0000000000000001E-3</v>
      </c>
      <c r="O16" s="14">
        <v>0</v>
      </c>
      <c r="P16">
        <v>11.3</v>
      </c>
      <c r="Q16">
        <v>12.3</v>
      </c>
      <c r="R16">
        <v>6.9</v>
      </c>
      <c r="S16">
        <v>12.8</v>
      </c>
      <c r="T16">
        <v>1028.2</v>
      </c>
      <c r="U16">
        <v>1027.2</v>
      </c>
      <c r="V16">
        <v>1027.7</v>
      </c>
      <c r="W16">
        <v>1024.2</v>
      </c>
      <c r="AB16">
        <v>37.587499999999999</v>
      </c>
      <c r="AC16">
        <v>30.766666669999999</v>
      </c>
      <c r="AD16">
        <v>40.6875</v>
      </c>
      <c r="AE16">
        <v>51.739130430000003</v>
      </c>
      <c r="AF16">
        <v>22.708333329999999</v>
      </c>
      <c r="AG16">
        <v>20.80833333</v>
      </c>
      <c r="AH16">
        <v>28.62916667</v>
      </c>
      <c r="AI16">
        <v>34.691304350000003</v>
      </c>
      <c r="AJ16">
        <v>17.99583333</v>
      </c>
      <c r="AK16">
        <v>17.770833329999999</v>
      </c>
      <c r="AL16">
        <v>20.654166669999999</v>
      </c>
      <c r="AM16">
        <v>18.847826090000002</v>
      </c>
      <c r="AN16">
        <v>2.2875000000000001</v>
      </c>
      <c r="AO16">
        <v>2.1875</v>
      </c>
      <c r="AP16">
        <v>2.1916666669999998</v>
      </c>
      <c r="AQ16">
        <v>2.2347826089999998</v>
      </c>
      <c r="AR16">
        <v>0.4375</v>
      </c>
      <c r="AS16">
        <v>0.39583333300000001</v>
      </c>
      <c r="AT16">
        <v>0.50833333300000005</v>
      </c>
      <c r="AU16">
        <v>0.51304347800000005</v>
      </c>
      <c r="AV16" s="8">
        <v>20</v>
      </c>
      <c r="AW16" s="8">
        <v>24.66667</v>
      </c>
      <c r="AX16" s="8">
        <v>11</v>
      </c>
      <c r="AY16" s="8">
        <v>3.1333E-2</v>
      </c>
      <c r="AZ16" s="8">
        <v>0.154</v>
      </c>
      <c r="BA16" s="8">
        <v>17.66667</v>
      </c>
      <c r="BB16" s="8">
        <v>32.666670000000003</v>
      </c>
    </row>
    <row r="17" spans="1:56" x14ac:dyDescent="0.25">
      <c r="A17">
        <v>6</v>
      </c>
      <c r="B17" s="2">
        <v>45611</v>
      </c>
      <c r="C17" t="s">
        <v>260</v>
      </c>
      <c r="D17">
        <v>6.1</v>
      </c>
      <c r="E17">
        <v>3.6</v>
      </c>
      <c r="F17">
        <v>-0.1</v>
      </c>
      <c r="G17">
        <v>0.1</v>
      </c>
      <c r="H17">
        <v>89.6</v>
      </c>
      <c r="I17">
        <v>94.7</v>
      </c>
      <c r="J17">
        <v>95.3</v>
      </c>
      <c r="K17">
        <v>93.8</v>
      </c>
      <c r="L17" s="14">
        <v>0.50700000000000001</v>
      </c>
      <c r="M17" s="14">
        <v>0.108</v>
      </c>
      <c r="N17" s="14">
        <v>0.58099999999999996</v>
      </c>
      <c r="O17" s="14">
        <v>0</v>
      </c>
      <c r="P17">
        <v>15.4</v>
      </c>
      <c r="Q17">
        <v>13.3</v>
      </c>
      <c r="R17">
        <v>7.4</v>
      </c>
      <c r="S17">
        <v>4.8</v>
      </c>
      <c r="T17">
        <v>1021.1</v>
      </c>
      <c r="U17">
        <v>1021.4</v>
      </c>
      <c r="V17">
        <v>1027.5999999999999</v>
      </c>
      <c r="W17">
        <v>1030.8</v>
      </c>
      <c r="AB17">
        <v>15.112500000000001</v>
      </c>
      <c r="AC17">
        <v>16.4375</v>
      </c>
      <c r="AD17">
        <v>23.670833330000001</v>
      </c>
      <c r="AE17">
        <v>45.652173910000002</v>
      </c>
      <c r="AF17">
        <v>13.8</v>
      </c>
      <c r="AG17">
        <v>18.5</v>
      </c>
      <c r="AH17">
        <v>26.4</v>
      </c>
      <c r="AI17">
        <v>34.9</v>
      </c>
      <c r="AJ17">
        <v>13.608333330000001</v>
      </c>
      <c r="AK17">
        <v>14.62916667</v>
      </c>
      <c r="AL17">
        <v>17.945833329999999</v>
      </c>
      <c r="AM17">
        <v>34.96956522</v>
      </c>
      <c r="AN17">
        <v>2.5249999999999999</v>
      </c>
      <c r="AO17">
        <v>2.733333333</v>
      </c>
      <c r="AP17">
        <v>2.2166666670000001</v>
      </c>
      <c r="AQ17">
        <v>4.6043478259999997</v>
      </c>
      <c r="AR17">
        <v>0.31666666700000001</v>
      </c>
      <c r="AS17">
        <v>0.4</v>
      </c>
      <c r="AT17">
        <v>0.38750000000000001</v>
      </c>
      <c r="AU17">
        <v>0.50434782600000005</v>
      </c>
      <c r="AV17">
        <v>24</v>
      </c>
      <c r="AW17">
        <v>30.666666666666668</v>
      </c>
      <c r="AX17">
        <v>14.333333333333334</v>
      </c>
      <c r="AY17">
        <v>2.5999999999999999E-2</v>
      </c>
      <c r="AZ17">
        <v>0.12366666666666666</v>
      </c>
      <c r="BA17">
        <v>3.3333333333333335</v>
      </c>
      <c r="BB17">
        <v>79</v>
      </c>
      <c r="BC17">
        <v>1002</v>
      </c>
      <c r="BD17">
        <v>275</v>
      </c>
    </row>
    <row r="18" spans="1:56" x14ac:dyDescent="0.25">
      <c r="A18">
        <v>6</v>
      </c>
      <c r="B18" s="2">
        <v>45611</v>
      </c>
      <c r="C18" t="s">
        <v>261</v>
      </c>
      <c r="D18">
        <v>6.1</v>
      </c>
      <c r="E18">
        <v>3.7</v>
      </c>
      <c r="F18">
        <v>0</v>
      </c>
      <c r="G18">
        <v>0.2</v>
      </c>
      <c r="H18">
        <v>89.8</v>
      </c>
      <c r="I18">
        <v>94.9</v>
      </c>
      <c r="J18">
        <v>95.4</v>
      </c>
      <c r="K18">
        <v>94</v>
      </c>
      <c r="L18" s="14">
        <v>0.51</v>
      </c>
      <c r="M18" s="14">
        <v>0.113</v>
      </c>
      <c r="N18" s="14">
        <v>0.56899999999999995</v>
      </c>
      <c r="O18" s="14">
        <v>0</v>
      </c>
      <c r="P18">
        <v>15.2</v>
      </c>
      <c r="Q18">
        <v>13.2</v>
      </c>
      <c r="R18">
        <v>7.3</v>
      </c>
      <c r="S18">
        <v>4.8</v>
      </c>
      <c r="T18">
        <v>1021.3</v>
      </c>
      <c r="U18">
        <v>1021.6</v>
      </c>
      <c r="V18">
        <v>1027.8</v>
      </c>
      <c r="W18">
        <v>1031</v>
      </c>
      <c r="AB18">
        <v>16.741666670000001</v>
      </c>
      <c r="AC18">
        <v>15.420833330000001</v>
      </c>
      <c r="AD18">
        <v>23.12916667</v>
      </c>
      <c r="AE18">
        <v>33.891304349999999</v>
      </c>
      <c r="AF18">
        <v>13.8</v>
      </c>
      <c r="AG18">
        <v>18.5</v>
      </c>
      <c r="AH18">
        <v>26.4</v>
      </c>
      <c r="AI18">
        <v>34.9</v>
      </c>
      <c r="AJ18">
        <v>14.28333333</v>
      </c>
      <c r="AK18">
        <v>17.895833329999999</v>
      </c>
      <c r="AL18">
        <v>19.8125</v>
      </c>
      <c r="AM18">
        <v>24.191304349999999</v>
      </c>
      <c r="AN18">
        <v>2.5249999999999999</v>
      </c>
      <c r="AO18">
        <v>2.733333333</v>
      </c>
      <c r="AP18">
        <v>2.2166666670000001</v>
      </c>
      <c r="AQ18">
        <v>4.6043478259999997</v>
      </c>
      <c r="AR18">
        <v>0.31666666700000001</v>
      </c>
      <c r="AS18">
        <v>0.4</v>
      </c>
      <c r="AT18">
        <v>0.38750000000000001</v>
      </c>
      <c r="AU18">
        <v>0.50434782600000005</v>
      </c>
      <c r="AV18">
        <v>36.666666666666664</v>
      </c>
      <c r="AW18">
        <v>48</v>
      </c>
      <c r="AX18">
        <v>22.333333333333332</v>
      </c>
      <c r="AY18">
        <v>2.2000000000000002E-2</v>
      </c>
      <c r="AZ18">
        <v>0.10199999999999999</v>
      </c>
      <c r="BA18">
        <v>6.666666666666667</v>
      </c>
      <c r="BB18">
        <v>67.333333333333329</v>
      </c>
      <c r="BC18">
        <v>996</v>
      </c>
    </row>
    <row r="19" spans="1:56" x14ac:dyDescent="0.25">
      <c r="A19">
        <v>6</v>
      </c>
      <c r="B19" s="2">
        <v>45611</v>
      </c>
      <c r="C19" t="s">
        <v>262</v>
      </c>
      <c r="D19">
        <v>6.1</v>
      </c>
      <c r="E19">
        <v>3.7</v>
      </c>
      <c r="F19">
        <v>0</v>
      </c>
      <c r="G19">
        <v>0.2</v>
      </c>
      <c r="H19">
        <v>89.8</v>
      </c>
      <c r="I19">
        <v>94.7</v>
      </c>
      <c r="J19">
        <v>95.2</v>
      </c>
      <c r="K19">
        <v>93.8</v>
      </c>
      <c r="L19" s="14">
        <v>0.51900000000000002</v>
      </c>
      <c r="M19" s="14">
        <v>0.13300000000000001</v>
      </c>
      <c r="N19" s="14">
        <v>0.52500000000000002</v>
      </c>
      <c r="O19" s="14">
        <v>0</v>
      </c>
      <c r="P19">
        <v>15.1</v>
      </c>
      <c r="Q19">
        <v>13.2</v>
      </c>
      <c r="R19">
        <v>7.4</v>
      </c>
      <c r="S19">
        <v>4.8</v>
      </c>
      <c r="T19">
        <v>1021.3</v>
      </c>
      <c r="U19">
        <v>1021.6</v>
      </c>
      <c r="V19">
        <v>1027.9000000000001</v>
      </c>
      <c r="W19">
        <v>1031.0999999999999</v>
      </c>
      <c r="AB19">
        <v>33.154166670000002</v>
      </c>
      <c r="AC19">
        <v>35.375</v>
      </c>
      <c r="AD19">
        <v>49.674999999999997</v>
      </c>
      <c r="AE19">
        <v>47.856521739999998</v>
      </c>
      <c r="AF19">
        <v>25.654166669999999</v>
      </c>
      <c r="AG19">
        <v>32.383333329999999</v>
      </c>
      <c r="AH19">
        <v>45.5625</v>
      </c>
      <c r="AI19">
        <v>44.5173913</v>
      </c>
      <c r="AJ19">
        <v>15.27083333</v>
      </c>
      <c r="AK19">
        <v>18.25</v>
      </c>
      <c r="AL19">
        <v>21.212499999999999</v>
      </c>
      <c r="AM19">
        <v>18.96086957</v>
      </c>
      <c r="AN19">
        <v>4.0291666670000001</v>
      </c>
      <c r="AO19">
        <v>3.9916666670000001</v>
      </c>
      <c r="AP19">
        <v>4.1875</v>
      </c>
      <c r="AQ19">
        <v>3.4869565219999998</v>
      </c>
      <c r="AR19">
        <v>0.35</v>
      </c>
      <c r="AS19">
        <v>0.43333333299999999</v>
      </c>
      <c r="AT19">
        <v>0.48749999999999999</v>
      </c>
      <c r="AU19">
        <v>0.38260869600000003</v>
      </c>
      <c r="AV19">
        <v>23</v>
      </c>
      <c r="AW19">
        <v>29</v>
      </c>
      <c r="AX19">
        <v>13.333333333333334</v>
      </c>
      <c r="AY19">
        <v>2.1666666666666667E-2</v>
      </c>
      <c r="AZ19">
        <v>0.10166666666666667</v>
      </c>
      <c r="BA19">
        <v>1.6666666666666667</v>
      </c>
      <c r="BB19">
        <v>89</v>
      </c>
      <c r="BC19">
        <v>996</v>
      </c>
      <c r="BD19">
        <v>312</v>
      </c>
    </row>
    <row r="20" spans="1:56" x14ac:dyDescent="0.25">
      <c r="A20">
        <v>7</v>
      </c>
      <c r="B20" s="2">
        <v>45679</v>
      </c>
      <c r="C20" t="s">
        <v>260</v>
      </c>
      <c r="AB20">
        <v>65.16</v>
      </c>
      <c r="AC20">
        <v>50.256250000000001</v>
      </c>
      <c r="AD20">
        <v>88.208695649999996</v>
      </c>
      <c r="AE20">
        <v>58.630434780000002</v>
      </c>
      <c r="AF20" s="9">
        <v>60.4</v>
      </c>
      <c r="AG20" s="9">
        <v>38.6</v>
      </c>
      <c r="AH20" s="9">
        <v>72.7</v>
      </c>
      <c r="AI20" s="9">
        <v>60.3</v>
      </c>
      <c r="AJ20">
        <v>36.143999999999998</v>
      </c>
      <c r="AK20">
        <v>36.370833330000004</v>
      </c>
      <c r="AL20">
        <v>50.629166669999996</v>
      </c>
      <c r="AM20">
        <v>27.20434783</v>
      </c>
      <c r="AN20">
        <v>8.34</v>
      </c>
      <c r="AO20">
        <v>7.2750000000000004</v>
      </c>
      <c r="AP20">
        <v>10.44166667</v>
      </c>
      <c r="AQ20">
        <v>4.8739130429999999</v>
      </c>
      <c r="AR20">
        <v>0.85840000000000005</v>
      </c>
      <c r="AS20">
        <v>0.59291666700000001</v>
      </c>
      <c r="AT20">
        <v>1.0349999999999999</v>
      </c>
      <c r="AU20">
        <v>0.74869565199999999</v>
      </c>
    </row>
    <row r="21" spans="1:56" x14ac:dyDescent="0.25">
      <c r="A21">
        <v>7</v>
      </c>
      <c r="B21" s="2">
        <v>45679</v>
      </c>
      <c r="C21" t="s">
        <v>261</v>
      </c>
      <c r="AB21">
        <v>49.643999999999998</v>
      </c>
      <c r="AC21">
        <v>36.049999999999997</v>
      </c>
      <c r="AD21">
        <v>63.662500000000001</v>
      </c>
      <c r="AE21">
        <v>49.339130429999997</v>
      </c>
      <c r="AF21" s="9">
        <v>60.4</v>
      </c>
      <c r="AG21" s="9">
        <v>38.6</v>
      </c>
      <c r="AH21" s="9">
        <v>72.7</v>
      </c>
      <c r="AI21" s="9">
        <v>60.3</v>
      </c>
      <c r="AJ21">
        <v>36.384</v>
      </c>
      <c r="AK21">
        <v>35.579166669999999</v>
      </c>
      <c r="AL21">
        <v>46.337499999999999</v>
      </c>
      <c r="AM21">
        <v>27.72608696</v>
      </c>
      <c r="AN21">
        <v>8.34</v>
      </c>
      <c r="AO21">
        <v>7.2750000000000004</v>
      </c>
      <c r="AP21">
        <v>10.44166667</v>
      </c>
      <c r="AQ21">
        <v>4.8739130429999999</v>
      </c>
      <c r="AR21">
        <v>0.85840000000000005</v>
      </c>
      <c r="AS21">
        <v>0.59291666700000001</v>
      </c>
      <c r="AT21">
        <v>1.0349999999999999</v>
      </c>
      <c r="AU21">
        <v>0.74869565199999999</v>
      </c>
    </row>
    <row r="22" spans="1:56" x14ac:dyDescent="0.25">
      <c r="A22">
        <v>7</v>
      </c>
      <c r="B22" s="2">
        <v>45679</v>
      </c>
      <c r="C22" t="s">
        <v>262</v>
      </c>
      <c r="AB22">
        <v>49.643999999999998</v>
      </c>
      <c r="AC22">
        <v>36.049999999999997</v>
      </c>
      <c r="AD22">
        <v>63.662500000000001</v>
      </c>
      <c r="AE22">
        <v>49.339130429999997</v>
      </c>
      <c r="AF22" s="9">
        <v>60.4</v>
      </c>
      <c r="AG22" s="9">
        <v>38.6</v>
      </c>
      <c r="AH22" s="9">
        <v>72.7</v>
      </c>
      <c r="AI22" s="9">
        <v>60.3</v>
      </c>
      <c r="AJ22">
        <v>36.384</v>
      </c>
      <c r="AK22">
        <v>35.579166669999999</v>
      </c>
      <c r="AL22">
        <v>46.337499999999999</v>
      </c>
      <c r="AM22">
        <v>27.72608696</v>
      </c>
      <c r="AN22">
        <v>8.34</v>
      </c>
      <c r="AO22">
        <v>7.2750000000000004</v>
      </c>
      <c r="AP22">
        <v>10.44166667</v>
      </c>
      <c r="AQ22">
        <v>4.8739130429999999</v>
      </c>
      <c r="AR22">
        <v>0.85840000000000005</v>
      </c>
      <c r="AS22">
        <v>0.59291666700000001</v>
      </c>
      <c r="AT22">
        <v>1.0349999999999999</v>
      </c>
      <c r="AU22">
        <v>0.74869565199999999</v>
      </c>
    </row>
    <row r="23" spans="1:56" x14ac:dyDescent="0.25">
      <c r="A23">
        <v>8</v>
      </c>
      <c r="B23" s="2">
        <v>45733</v>
      </c>
      <c r="C23" t="s">
        <v>260</v>
      </c>
      <c r="AB23">
        <v>22.7</v>
      </c>
      <c r="AC23">
        <v>60.833333330000002</v>
      </c>
      <c r="AD23">
        <v>25.99583333</v>
      </c>
      <c r="AE23">
        <v>22.1</v>
      </c>
      <c r="AF23">
        <v>10.3</v>
      </c>
      <c r="AG23">
        <v>29</v>
      </c>
      <c r="AH23">
        <v>21.9</v>
      </c>
      <c r="AI23">
        <v>11.9</v>
      </c>
      <c r="AJ23">
        <v>25.69166667</v>
      </c>
      <c r="AK23">
        <v>32.870833330000004</v>
      </c>
      <c r="AL23">
        <v>35.733333330000001</v>
      </c>
      <c r="AM23">
        <v>31.834782610000001</v>
      </c>
      <c r="AN23">
        <v>1.0416666670000001</v>
      </c>
      <c r="AO23">
        <v>3.4666666670000001</v>
      </c>
      <c r="AP23">
        <v>2.5958333329999999</v>
      </c>
      <c r="AQ23">
        <v>1.1304347830000001</v>
      </c>
      <c r="AR23">
        <v>0.30958333300000002</v>
      </c>
      <c r="AS23">
        <v>0.90333333299999996</v>
      </c>
      <c r="AT23">
        <v>0.53874999999999995</v>
      </c>
      <c r="AU23">
        <v>0.45391304300000002</v>
      </c>
    </row>
    <row r="24" spans="1:56" x14ac:dyDescent="0.25">
      <c r="A24">
        <v>8</v>
      </c>
      <c r="B24" s="2">
        <v>45733</v>
      </c>
      <c r="C24" t="s">
        <v>261</v>
      </c>
      <c r="AB24">
        <v>11.922727269999999</v>
      </c>
      <c r="AC24">
        <v>33.620833330000004</v>
      </c>
      <c r="AD24">
        <v>20.233333330000001</v>
      </c>
      <c r="AE24">
        <v>10.660869569999999</v>
      </c>
      <c r="AF24">
        <v>10.3</v>
      </c>
      <c r="AG24">
        <v>29</v>
      </c>
      <c r="AH24">
        <v>21.9</v>
      </c>
      <c r="AI24">
        <v>11.9</v>
      </c>
      <c r="AJ24">
        <v>11.30909091</v>
      </c>
      <c r="AK24">
        <v>26.56666667</v>
      </c>
      <c r="AL24">
        <v>22.716666669999999</v>
      </c>
      <c r="AM24">
        <v>16.791304350000001</v>
      </c>
      <c r="AN24">
        <v>1.0416666670000001</v>
      </c>
      <c r="AO24">
        <v>3.4666666670000001</v>
      </c>
      <c r="AP24">
        <v>2.5958333329999999</v>
      </c>
      <c r="AQ24">
        <v>1.1304347830000001</v>
      </c>
      <c r="AR24">
        <v>0.30958333300000002</v>
      </c>
      <c r="AS24">
        <v>0.90333333299999996</v>
      </c>
      <c r="AT24">
        <v>0.53874999999999995</v>
      </c>
      <c r="AU24">
        <v>0.45391304300000002</v>
      </c>
    </row>
    <row r="25" spans="1:56" x14ac:dyDescent="0.25">
      <c r="A25">
        <v>8</v>
      </c>
      <c r="B25" s="2">
        <v>45733</v>
      </c>
      <c r="C25" t="s">
        <v>262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CC08-5942-4C7F-9524-9ACC9428EF87}">
  <dimension ref="A1:BM19"/>
  <sheetViews>
    <sheetView workbookViewId="0">
      <pane xSplit="3" topLeftCell="N1" activePane="topRight" state="frozen"/>
      <selection pane="topRight" activeCell="W23" sqref="W23"/>
    </sheetView>
  </sheetViews>
  <sheetFormatPr defaultRowHeight="15" x14ac:dyDescent="0.25"/>
  <cols>
    <col min="2" max="2" width="10.85546875" bestFit="1" customWidth="1"/>
    <col min="4" max="56" width="9.140625" style="14"/>
    <col min="57" max="57" width="15.42578125" customWidth="1"/>
  </cols>
  <sheetData>
    <row r="1" spans="1:65" x14ac:dyDescent="0.25">
      <c r="A1" t="s">
        <v>1</v>
      </c>
      <c r="B1" t="s">
        <v>2</v>
      </c>
      <c r="C1" t="s">
        <v>0</v>
      </c>
      <c r="D1" s="14" t="s">
        <v>233</v>
      </c>
      <c r="E1" t="s">
        <v>5</v>
      </c>
      <c r="F1" t="s">
        <v>4</v>
      </c>
      <c r="G1" t="s">
        <v>3</v>
      </c>
      <c r="H1" t="s">
        <v>7</v>
      </c>
      <c r="I1" t="s">
        <v>5</v>
      </c>
      <c r="J1" t="s">
        <v>4</v>
      </c>
      <c r="K1" t="s">
        <v>3</v>
      </c>
      <c r="L1" s="14" t="s">
        <v>263</v>
      </c>
      <c r="M1" s="14" t="s">
        <v>5</v>
      </c>
      <c r="N1" s="14" t="s">
        <v>4</v>
      </c>
      <c r="O1" s="14" t="s">
        <v>3</v>
      </c>
      <c r="P1" t="s">
        <v>264</v>
      </c>
      <c r="Q1" t="s">
        <v>236</v>
      </c>
      <c r="R1" t="s">
        <v>237</v>
      </c>
      <c r="S1" t="s">
        <v>238</v>
      </c>
      <c r="T1" t="s">
        <v>239</v>
      </c>
      <c r="U1" t="s">
        <v>5</v>
      </c>
      <c r="V1" t="s">
        <v>4</v>
      </c>
      <c r="W1" t="s">
        <v>3</v>
      </c>
      <c r="X1" t="s">
        <v>11</v>
      </c>
      <c r="Y1" t="s">
        <v>10</v>
      </c>
      <c r="Z1" t="s">
        <v>13</v>
      </c>
      <c r="AA1" t="s">
        <v>12</v>
      </c>
      <c r="AB1" t="s">
        <v>240</v>
      </c>
      <c r="AC1" t="s">
        <v>241</v>
      </c>
      <c r="AD1" t="s">
        <v>242</v>
      </c>
      <c r="AE1" t="s">
        <v>243</v>
      </c>
      <c r="AF1" t="s">
        <v>265</v>
      </c>
      <c r="AG1" t="s">
        <v>14</v>
      </c>
      <c r="AH1" t="s">
        <v>19</v>
      </c>
      <c r="AI1" t="s">
        <v>3</v>
      </c>
      <c r="AJ1" t="s">
        <v>245</v>
      </c>
      <c r="AK1" t="s">
        <v>14</v>
      </c>
      <c r="AL1" t="s">
        <v>19</v>
      </c>
      <c r="AM1" t="s">
        <v>3</v>
      </c>
      <c r="AN1" t="s">
        <v>246</v>
      </c>
      <c r="AO1" t="s">
        <v>14</v>
      </c>
      <c r="AP1" t="s">
        <v>19</v>
      </c>
      <c r="AQ1" t="s">
        <v>3</v>
      </c>
      <c r="AR1" t="s">
        <v>247</v>
      </c>
      <c r="AS1" t="s">
        <v>14</v>
      </c>
      <c r="AT1" t="s">
        <v>19</v>
      </c>
      <c r="AU1" t="s">
        <v>3</v>
      </c>
      <c r="AV1" t="s">
        <v>266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255</v>
      </c>
      <c r="BD1" t="s">
        <v>256</v>
      </c>
      <c r="BE1" t="s">
        <v>29</v>
      </c>
      <c r="BF1" t="s">
        <v>30</v>
      </c>
      <c r="BG1" t="s">
        <v>31</v>
      </c>
      <c r="BH1" s="1" t="s">
        <v>32</v>
      </c>
      <c r="BI1" t="s">
        <v>33</v>
      </c>
      <c r="BJ1" t="s">
        <v>42</v>
      </c>
      <c r="BK1" t="s">
        <v>258</v>
      </c>
      <c r="BL1" t="s">
        <v>259</v>
      </c>
      <c r="BM1" t="s">
        <v>41</v>
      </c>
    </row>
    <row r="2" spans="1:65" x14ac:dyDescent="0.25">
      <c r="A2">
        <v>1</v>
      </c>
      <c r="B2" s="2">
        <v>45278</v>
      </c>
      <c r="C2" t="s">
        <v>260</v>
      </c>
      <c r="D2" s="14">
        <v>4.5</v>
      </c>
      <c r="E2" s="14">
        <v>3.8</v>
      </c>
      <c r="F2" s="14">
        <v>2.5</v>
      </c>
      <c r="G2" s="14">
        <v>0.4</v>
      </c>
      <c r="H2" s="14">
        <v>78.099999999999994</v>
      </c>
      <c r="I2" s="14">
        <v>85.7</v>
      </c>
      <c r="J2" s="14">
        <v>87.5</v>
      </c>
      <c r="K2" s="16">
        <v>87.3</v>
      </c>
      <c r="L2" s="16">
        <v>0</v>
      </c>
      <c r="M2" s="16">
        <v>0</v>
      </c>
      <c r="N2" s="16">
        <v>0.191</v>
      </c>
      <c r="O2" s="16">
        <v>0.40400000000000003</v>
      </c>
      <c r="P2" s="14">
        <v>18.5</v>
      </c>
      <c r="Q2" s="14">
        <v>20.8</v>
      </c>
      <c r="R2" s="14">
        <v>15.9</v>
      </c>
      <c r="S2" s="16">
        <v>17.5</v>
      </c>
      <c r="T2" s="14">
        <v>1030.5</v>
      </c>
      <c r="U2" s="14">
        <v>1035.4000000000001</v>
      </c>
      <c r="V2" s="14">
        <v>1038</v>
      </c>
      <c r="W2" s="14">
        <v>1031.4000000000001</v>
      </c>
      <c r="AB2" s="17">
        <v>15.3</v>
      </c>
      <c r="AC2" s="17">
        <v>16.3</v>
      </c>
      <c r="AD2" s="17">
        <v>16</v>
      </c>
      <c r="AE2" s="17">
        <v>25.7</v>
      </c>
      <c r="AF2" s="14">
        <v>4.4000000000000004</v>
      </c>
      <c r="AG2" s="14">
        <v>6.2</v>
      </c>
      <c r="AH2" s="14">
        <v>4.5</v>
      </c>
      <c r="AI2" s="14">
        <v>21.3</v>
      </c>
      <c r="AJ2" s="14">
        <v>25.4</v>
      </c>
      <c r="AK2" s="14">
        <v>15.10416667</v>
      </c>
      <c r="AL2" s="14">
        <v>29.016666669999999</v>
      </c>
      <c r="AM2" s="14">
        <v>26.456521739999999</v>
      </c>
      <c r="AN2" s="17">
        <v>8.3000000000000007</v>
      </c>
      <c r="AO2" s="17">
        <v>7.4</v>
      </c>
      <c r="AP2" s="17">
        <v>11.7</v>
      </c>
      <c r="AQ2" s="17">
        <v>10.5</v>
      </c>
      <c r="AR2" s="14">
        <v>0.40833333300000002</v>
      </c>
      <c r="AS2" s="14">
        <v>0.36451612900000002</v>
      </c>
      <c r="AT2" s="14">
        <v>0.51764705899999996</v>
      </c>
      <c r="AU2" s="14">
        <v>0.56956521699999996</v>
      </c>
      <c r="AV2" s="14">
        <v>29</v>
      </c>
      <c r="AW2" s="14">
        <v>37</v>
      </c>
      <c r="AX2" s="14">
        <v>17</v>
      </c>
      <c r="AY2" s="14">
        <v>0.04</v>
      </c>
      <c r="AZ2" s="14">
        <v>0.185</v>
      </c>
      <c r="BA2" s="14">
        <v>5</v>
      </c>
      <c r="BB2" s="14">
        <v>68</v>
      </c>
      <c r="BE2">
        <v>665</v>
      </c>
      <c r="BF2">
        <v>99</v>
      </c>
      <c r="BG2">
        <f>BF2/BE2</f>
        <v>0.14887218045112782</v>
      </c>
    </row>
    <row r="3" spans="1:65" x14ac:dyDescent="0.25">
      <c r="A3">
        <v>1</v>
      </c>
      <c r="B3" s="2">
        <v>45278</v>
      </c>
      <c r="C3" t="s">
        <v>261</v>
      </c>
      <c r="D3" s="14">
        <v>4.5</v>
      </c>
      <c r="E3" s="14">
        <v>3.8</v>
      </c>
      <c r="F3" s="14">
        <v>2.5</v>
      </c>
      <c r="G3" s="14">
        <v>0.4</v>
      </c>
      <c r="H3" s="14">
        <v>78.099999999999994</v>
      </c>
      <c r="I3" s="14">
        <v>85.7</v>
      </c>
      <c r="J3" s="14">
        <v>87.5</v>
      </c>
      <c r="K3" s="16">
        <v>87.3</v>
      </c>
      <c r="L3" s="16">
        <v>0</v>
      </c>
      <c r="M3" s="16">
        <v>0</v>
      </c>
      <c r="N3" s="16">
        <v>0.191</v>
      </c>
      <c r="O3" s="16">
        <v>0.40400000000000003</v>
      </c>
      <c r="P3" s="14">
        <v>18.5</v>
      </c>
      <c r="Q3" s="14">
        <v>20.8</v>
      </c>
      <c r="R3" s="14">
        <v>15.9</v>
      </c>
      <c r="S3" s="16">
        <v>17.5</v>
      </c>
      <c r="T3" s="14">
        <v>1030.5</v>
      </c>
      <c r="U3" s="14">
        <v>1035.4000000000001</v>
      </c>
      <c r="V3" s="14">
        <v>1038</v>
      </c>
      <c r="W3" s="14">
        <v>1031.4000000000001</v>
      </c>
      <c r="AB3" s="17">
        <v>15.3</v>
      </c>
      <c r="AC3" s="17">
        <v>16.3</v>
      </c>
      <c r="AD3" s="17">
        <v>16</v>
      </c>
      <c r="AE3" s="17">
        <v>25.7</v>
      </c>
      <c r="AF3" s="14">
        <v>4.4000000000000004</v>
      </c>
      <c r="AG3" s="14">
        <v>6.2</v>
      </c>
      <c r="AH3" s="14">
        <v>4.5</v>
      </c>
      <c r="AI3" s="14">
        <v>21.3</v>
      </c>
      <c r="AJ3" s="14">
        <v>25.4</v>
      </c>
      <c r="AK3" s="14">
        <v>15.10416667</v>
      </c>
      <c r="AL3" s="14">
        <v>29.016666669999999</v>
      </c>
      <c r="AM3" s="14">
        <v>26.456521739999999</v>
      </c>
      <c r="AN3" s="17">
        <v>8.3000000000000007</v>
      </c>
      <c r="AO3" s="17">
        <v>7.4</v>
      </c>
      <c r="AP3" s="17">
        <v>11.7</v>
      </c>
      <c r="AQ3" s="17">
        <v>10.5</v>
      </c>
      <c r="AR3" s="14">
        <v>0.40833333300000002</v>
      </c>
      <c r="AS3" s="14">
        <v>0.36451612900000002</v>
      </c>
      <c r="AT3" s="14">
        <v>0.51764705899999996</v>
      </c>
      <c r="AU3" s="14">
        <v>0.56956521699999996</v>
      </c>
      <c r="AV3" s="14">
        <v>38</v>
      </c>
      <c r="AW3" s="14">
        <v>47</v>
      </c>
      <c r="AX3" s="14">
        <v>21</v>
      </c>
      <c r="AY3" s="14">
        <v>4.7E-2</v>
      </c>
      <c r="AZ3" s="14">
        <v>0.21199999999999999</v>
      </c>
      <c r="BA3" s="14">
        <v>3</v>
      </c>
      <c r="BB3" s="14">
        <v>73</v>
      </c>
      <c r="BE3">
        <v>342</v>
      </c>
      <c r="BF3">
        <v>38</v>
      </c>
      <c r="BG3">
        <f>BF3/BE3</f>
        <v>0.1111111111111111</v>
      </c>
    </row>
    <row r="4" spans="1:65" x14ac:dyDescent="0.25">
      <c r="A4">
        <v>2</v>
      </c>
      <c r="B4" s="2">
        <v>45358</v>
      </c>
      <c r="C4" t="s">
        <v>260</v>
      </c>
      <c r="D4" s="14">
        <v>2.2000000000000002</v>
      </c>
      <c r="E4" s="14">
        <v>2.7</v>
      </c>
      <c r="F4" s="14">
        <v>5.6</v>
      </c>
      <c r="G4" s="14">
        <v>9.5</v>
      </c>
      <c r="H4" s="14">
        <v>82.6</v>
      </c>
      <c r="I4" s="14">
        <v>90.5</v>
      </c>
      <c r="J4" s="14">
        <v>89.5</v>
      </c>
      <c r="K4" s="14">
        <v>75.400000000000006</v>
      </c>
      <c r="L4" s="14">
        <v>0.251</v>
      </c>
      <c r="M4" s="14">
        <v>0.29599999999999999</v>
      </c>
      <c r="N4" s="14">
        <v>0.52100000000000002</v>
      </c>
      <c r="O4" s="14">
        <v>5.2999999999999999E-2</v>
      </c>
      <c r="P4" s="14">
        <v>20</v>
      </c>
      <c r="Q4" s="14">
        <v>17.3</v>
      </c>
      <c r="R4" s="14">
        <v>16.100000000000001</v>
      </c>
      <c r="S4" s="14">
        <v>16.2</v>
      </c>
      <c r="T4" s="14">
        <v>1023.9</v>
      </c>
      <c r="U4" s="14">
        <v>1021.4</v>
      </c>
      <c r="V4" s="14">
        <v>1014.5</v>
      </c>
      <c r="W4" s="14">
        <v>1007.7</v>
      </c>
      <c r="AB4" s="18">
        <v>29.64583</v>
      </c>
      <c r="AC4" s="18">
        <v>41.037500000000001</v>
      </c>
      <c r="AD4" s="18">
        <v>45.762500000000003</v>
      </c>
      <c r="AE4" s="18">
        <v>26.25217</v>
      </c>
      <c r="AF4" s="14">
        <v>28.8</v>
      </c>
      <c r="AG4" s="14">
        <v>30.7</v>
      </c>
      <c r="AH4" s="14">
        <v>30.9</v>
      </c>
      <c r="AI4" s="14">
        <v>28.1</v>
      </c>
      <c r="AJ4" s="18">
        <v>18.725000000000001</v>
      </c>
      <c r="AK4" s="18">
        <v>27.441669999999998</v>
      </c>
      <c r="AL4" s="18">
        <v>19.283329999999999</v>
      </c>
      <c r="AM4" s="18">
        <v>25.913039999999999</v>
      </c>
      <c r="AN4" s="18">
        <v>8.7416666670000005</v>
      </c>
      <c r="AO4" s="18">
        <v>8.8083329999999993</v>
      </c>
      <c r="AP4" s="18">
        <v>5.391667</v>
      </c>
      <c r="AQ4" s="18">
        <v>9.2043479999999995</v>
      </c>
      <c r="AR4" s="18">
        <v>0.429166667</v>
      </c>
      <c r="AS4" s="18">
        <v>0.60416700000000001</v>
      </c>
      <c r="AT4" s="18">
        <v>0.47916700000000001</v>
      </c>
      <c r="AU4" s="18">
        <v>0.447826</v>
      </c>
      <c r="AV4" s="14">
        <v>47</v>
      </c>
      <c r="AW4" s="14">
        <v>61</v>
      </c>
      <c r="AX4" s="14">
        <v>29</v>
      </c>
      <c r="AY4" s="14">
        <v>2.4333333333333335E-2</v>
      </c>
      <c r="AZ4" s="14">
        <v>0.11366666666666665</v>
      </c>
      <c r="BA4" s="14">
        <v>0.33333333333333331</v>
      </c>
      <c r="BB4" s="14">
        <v>71.666666666666671</v>
      </c>
      <c r="BE4">
        <v>395</v>
      </c>
      <c r="BF4">
        <v>49</v>
      </c>
      <c r="BG4">
        <f t="shared" ref="BG4:BG5" si="0">BF4/BE4</f>
        <v>0.1240506329113924</v>
      </c>
    </row>
    <row r="5" spans="1:65" x14ac:dyDescent="0.25">
      <c r="A5">
        <v>2</v>
      </c>
      <c r="B5" s="2">
        <v>45358</v>
      </c>
      <c r="C5" t="s">
        <v>261</v>
      </c>
      <c r="D5" s="14">
        <v>2.2000000000000002</v>
      </c>
      <c r="E5" s="14">
        <v>2.7</v>
      </c>
      <c r="F5" s="14">
        <v>5.6</v>
      </c>
      <c r="G5" s="14">
        <v>9.5</v>
      </c>
      <c r="H5" s="14">
        <v>82.6</v>
      </c>
      <c r="I5" s="14">
        <v>90.5</v>
      </c>
      <c r="J5" s="14">
        <v>89.5</v>
      </c>
      <c r="K5" s="14">
        <v>75.400000000000006</v>
      </c>
      <c r="L5" s="14">
        <v>0.251</v>
      </c>
      <c r="M5" s="14">
        <v>0.29599999999999999</v>
      </c>
      <c r="N5" s="14">
        <v>0.52100000000000002</v>
      </c>
      <c r="O5" s="14">
        <v>5.2999999999999999E-2</v>
      </c>
      <c r="P5" s="14">
        <v>20</v>
      </c>
      <c r="Q5" s="14">
        <v>17.3</v>
      </c>
      <c r="R5" s="14">
        <v>16.100000000000001</v>
      </c>
      <c r="S5" s="14">
        <v>16.2</v>
      </c>
      <c r="T5" s="14">
        <v>1023.9</v>
      </c>
      <c r="U5" s="14">
        <v>1021.4</v>
      </c>
      <c r="V5" s="14">
        <v>1014.5</v>
      </c>
      <c r="W5" s="14">
        <v>1007.7</v>
      </c>
      <c r="AB5" s="18">
        <v>29.64583</v>
      </c>
      <c r="AC5" s="18">
        <v>41.037500000000001</v>
      </c>
      <c r="AD5" s="18">
        <v>45.762500000000003</v>
      </c>
      <c r="AE5" s="18">
        <v>26.25217</v>
      </c>
      <c r="AF5" s="14">
        <v>28.8</v>
      </c>
      <c r="AG5" s="14">
        <v>30.7</v>
      </c>
      <c r="AH5" s="14">
        <v>30.9</v>
      </c>
      <c r="AI5" s="14">
        <v>28.1</v>
      </c>
      <c r="AJ5" s="18">
        <v>18.725000000000001</v>
      </c>
      <c r="AK5" s="18">
        <v>27.441669999999998</v>
      </c>
      <c r="AL5" s="18">
        <v>19.283329999999999</v>
      </c>
      <c r="AM5" s="18">
        <v>25.913039999999999</v>
      </c>
      <c r="AN5" s="18">
        <v>8.7416666670000005</v>
      </c>
      <c r="AO5" s="18">
        <v>8.8083329999999993</v>
      </c>
      <c r="AP5" s="18">
        <v>5.391667</v>
      </c>
      <c r="AQ5" s="18">
        <v>9.2043479999999995</v>
      </c>
      <c r="AR5" s="18">
        <v>0.429166667</v>
      </c>
      <c r="AS5" s="18">
        <v>0.60416700000000001</v>
      </c>
      <c r="AT5" s="18">
        <v>0.47916700000000001</v>
      </c>
      <c r="AU5" s="18">
        <v>0.447826</v>
      </c>
      <c r="AV5" s="14">
        <v>42.333333333333336</v>
      </c>
      <c r="AW5" s="14">
        <v>53.666666666666664</v>
      </c>
      <c r="AX5" s="14">
        <v>25</v>
      </c>
      <c r="AY5" s="14">
        <v>3.6333333333333336E-2</v>
      </c>
      <c r="AZ5" s="14">
        <v>0.18300000000000002</v>
      </c>
      <c r="BA5" s="14">
        <v>-1.3333333333333333</v>
      </c>
      <c r="BB5" s="14">
        <v>76</v>
      </c>
      <c r="BE5">
        <v>426</v>
      </c>
      <c r="BF5">
        <v>65</v>
      </c>
      <c r="BG5">
        <f t="shared" si="0"/>
        <v>0.15258215962441316</v>
      </c>
    </row>
    <row r="6" spans="1:65" x14ac:dyDescent="0.25">
      <c r="A6">
        <v>3</v>
      </c>
      <c r="B6" s="2">
        <v>45433</v>
      </c>
      <c r="C6" t="s">
        <v>260</v>
      </c>
      <c r="D6" s="14">
        <v>18</v>
      </c>
      <c r="E6" s="14">
        <v>16.399999999999999</v>
      </c>
      <c r="F6" s="14">
        <v>15.7</v>
      </c>
      <c r="G6" s="14">
        <v>14.7</v>
      </c>
      <c r="H6" s="14">
        <v>72.099999999999994</v>
      </c>
      <c r="I6" s="14">
        <v>72.099999999999994</v>
      </c>
      <c r="J6" s="14">
        <v>77.900000000000006</v>
      </c>
      <c r="K6" s="14">
        <v>73.900000000000006</v>
      </c>
      <c r="L6" s="14">
        <v>0.36299999999999999</v>
      </c>
      <c r="M6" s="14">
        <v>0.59799999999999998</v>
      </c>
      <c r="N6" s="14">
        <v>12.625</v>
      </c>
      <c r="O6" s="14">
        <v>0.997</v>
      </c>
      <c r="P6" s="14">
        <v>14.8</v>
      </c>
      <c r="Q6" s="14">
        <v>13.9</v>
      </c>
      <c r="R6" s="14">
        <v>18.399999999999999</v>
      </c>
      <c r="S6" s="14">
        <v>10.6</v>
      </c>
      <c r="T6" s="14">
        <v>1011.2</v>
      </c>
      <c r="U6" s="14">
        <v>1012.7</v>
      </c>
      <c r="V6" s="14">
        <v>1012.1</v>
      </c>
      <c r="W6" s="14">
        <v>1013.8</v>
      </c>
      <c r="AB6" s="14">
        <v>22.21153846</v>
      </c>
      <c r="AC6" s="14">
        <v>14.081818180000001</v>
      </c>
      <c r="AD6" s="14">
        <v>15.733333330000001</v>
      </c>
      <c r="AE6" s="14">
        <v>16.01304348</v>
      </c>
      <c r="AF6" s="14">
        <v>12.1</v>
      </c>
      <c r="AG6" s="14">
        <v>7.7</v>
      </c>
      <c r="AH6" s="14">
        <v>9.3000000000000007</v>
      </c>
      <c r="AI6" s="14">
        <v>6</v>
      </c>
      <c r="AJ6" s="14">
        <v>14.94166667</v>
      </c>
      <c r="AK6" s="14">
        <v>21.737500000000001</v>
      </c>
      <c r="AL6" s="14">
        <v>13.02916667</v>
      </c>
      <c r="AM6" s="14">
        <v>12.465217389999999</v>
      </c>
      <c r="AN6" s="14">
        <v>1.875</v>
      </c>
      <c r="AO6" s="14">
        <v>3.454166667</v>
      </c>
      <c r="AP6" s="14">
        <v>2.0583333330000002</v>
      </c>
      <c r="AQ6" s="14">
        <v>2.8043478259999999</v>
      </c>
      <c r="AR6" s="14">
        <v>0.13750000000000001</v>
      </c>
      <c r="AS6" s="14">
        <v>0.20833333300000001</v>
      </c>
      <c r="AT6" s="14">
        <v>0.20833333300000001</v>
      </c>
      <c r="AU6" s="14">
        <v>0.19130434800000001</v>
      </c>
      <c r="AV6" s="14">
        <v>16</v>
      </c>
      <c r="AW6" s="14">
        <v>20.67</v>
      </c>
      <c r="AX6" s="14">
        <v>9.67</v>
      </c>
      <c r="AY6" s="14">
        <v>3.9E-2</v>
      </c>
      <c r="AZ6" s="14">
        <v>0.185</v>
      </c>
      <c r="BA6" s="14">
        <v>23.67</v>
      </c>
      <c r="BB6" s="14">
        <v>46.33</v>
      </c>
    </row>
    <row r="7" spans="1:65" x14ac:dyDescent="0.25">
      <c r="A7">
        <v>3</v>
      </c>
      <c r="B7" s="2">
        <v>45433</v>
      </c>
      <c r="C7" t="s">
        <v>261</v>
      </c>
      <c r="D7" s="14">
        <v>18</v>
      </c>
      <c r="E7" s="14">
        <v>16.399999999999999</v>
      </c>
      <c r="F7" s="14">
        <v>15.7</v>
      </c>
      <c r="G7" s="14">
        <v>14.7</v>
      </c>
      <c r="H7" s="14">
        <v>72.099999999999994</v>
      </c>
      <c r="I7" s="14">
        <v>72.099999999999994</v>
      </c>
      <c r="J7" s="14">
        <v>77.900000000000006</v>
      </c>
      <c r="K7" s="14">
        <v>73.900000000000006</v>
      </c>
      <c r="L7" s="14">
        <v>0.36299999999999999</v>
      </c>
      <c r="M7" s="14">
        <v>0.59799999999999998</v>
      </c>
      <c r="N7" s="14">
        <v>12.625</v>
      </c>
      <c r="O7" s="14">
        <v>0.997</v>
      </c>
      <c r="P7" s="14">
        <v>14.8</v>
      </c>
      <c r="Q7" s="14">
        <v>13.9</v>
      </c>
      <c r="R7" s="14">
        <v>18.399999999999999</v>
      </c>
      <c r="S7" s="14">
        <v>10.6</v>
      </c>
      <c r="T7" s="14">
        <v>1011.2</v>
      </c>
      <c r="U7" s="14">
        <v>1012.7</v>
      </c>
      <c r="V7" s="14">
        <v>1012.1</v>
      </c>
      <c r="W7" s="14">
        <v>1013.8</v>
      </c>
      <c r="AB7" s="14">
        <v>22.21153846</v>
      </c>
      <c r="AC7" s="14">
        <v>14.081818180000001</v>
      </c>
      <c r="AD7" s="14">
        <v>15.733333330000001</v>
      </c>
      <c r="AE7" s="14">
        <v>16.01304348</v>
      </c>
      <c r="AF7" s="14">
        <v>12.1</v>
      </c>
      <c r="AG7" s="14">
        <v>7.7</v>
      </c>
      <c r="AH7" s="14">
        <v>9.3000000000000007</v>
      </c>
      <c r="AI7" s="14">
        <v>6</v>
      </c>
      <c r="AJ7" s="14">
        <v>14.94166667</v>
      </c>
      <c r="AK7" s="14">
        <v>21.737500000000001</v>
      </c>
      <c r="AL7" s="14">
        <v>13.02916667</v>
      </c>
      <c r="AM7" s="14">
        <v>12.465217389999999</v>
      </c>
      <c r="AN7" s="14">
        <v>1.875</v>
      </c>
      <c r="AO7" s="14">
        <v>3.454166667</v>
      </c>
      <c r="AP7" s="14">
        <v>2.0583333330000002</v>
      </c>
      <c r="AQ7" s="14">
        <v>2.8043478259999999</v>
      </c>
      <c r="AR7" s="14">
        <v>0.13750000000000001</v>
      </c>
      <c r="AS7" s="14">
        <v>0.20833333300000001</v>
      </c>
      <c r="AT7" s="14">
        <v>0.20833333300000001</v>
      </c>
      <c r="AU7" s="14">
        <v>0.19130434800000001</v>
      </c>
      <c r="AV7" s="14">
        <v>14.33</v>
      </c>
      <c r="AW7" s="14">
        <v>17.670000000000002</v>
      </c>
      <c r="AX7" s="14">
        <v>8</v>
      </c>
      <c r="AY7" s="14">
        <v>3.4000000000000002E-2</v>
      </c>
      <c r="AZ7" s="14">
        <v>0.157</v>
      </c>
      <c r="BA7" s="14">
        <v>24</v>
      </c>
      <c r="BB7" s="14">
        <v>35.33</v>
      </c>
    </row>
    <row r="8" spans="1:65" x14ac:dyDescent="0.25">
      <c r="A8">
        <v>4</v>
      </c>
      <c r="B8" s="2">
        <v>45481</v>
      </c>
      <c r="C8" t="s">
        <v>260</v>
      </c>
      <c r="D8" s="14">
        <v>19.5</v>
      </c>
      <c r="E8" s="14">
        <v>19.3</v>
      </c>
      <c r="F8" s="14">
        <v>22.5</v>
      </c>
      <c r="G8" s="14">
        <v>18.5</v>
      </c>
      <c r="H8" s="14">
        <v>84.2</v>
      </c>
      <c r="I8" s="14">
        <v>80.2</v>
      </c>
      <c r="J8" s="14">
        <v>58.2</v>
      </c>
      <c r="K8" s="14">
        <v>63.2</v>
      </c>
      <c r="L8" s="14">
        <v>2.1</v>
      </c>
      <c r="M8" s="14">
        <v>3.2</v>
      </c>
      <c r="N8" s="14">
        <v>0</v>
      </c>
      <c r="O8" s="14">
        <v>0.1</v>
      </c>
      <c r="P8" s="14">
        <v>13.9</v>
      </c>
      <c r="Q8" s="14">
        <v>19.5</v>
      </c>
      <c r="R8" s="14">
        <v>29.5</v>
      </c>
      <c r="S8" s="14">
        <v>25.8</v>
      </c>
      <c r="T8" s="14">
        <v>1018.5</v>
      </c>
      <c r="U8" s="14">
        <v>1013.8</v>
      </c>
      <c r="V8" s="14">
        <v>1011.2</v>
      </c>
      <c r="W8" s="14">
        <v>1013.2</v>
      </c>
      <c r="AB8" s="14">
        <v>20.883333329999999</v>
      </c>
      <c r="AC8" s="14">
        <v>14.59583333</v>
      </c>
      <c r="AD8" s="14">
        <v>13.4625</v>
      </c>
      <c r="AE8" s="14">
        <v>11.465217389999999</v>
      </c>
      <c r="AG8" s="14">
        <v>14.1</v>
      </c>
      <c r="AH8" s="14">
        <v>14.8</v>
      </c>
      <c r="AI8" s="14">
        <v>9.6</v>
      </c>
      <c r="AJ8" s="14">
        <v>15.56666667</v>
      </c>
      <c r="AK8" s="14">
        <v>8.9</v>
      </c>
      <c r="AL8" s="14">
        <v>11.74583333</v>
      </c>
      <c r="AM8" s="14">
        <v>14.99565217</v>
      </c>
      <c r="AN8" s="14">
        <v>3.8083333330000002</v>
      </c>
      <c r="AO8" s="14">
        <v>4.483333333</v>
      </c>
      <c r="AP8" s="14">
        <v>4.4041666670000001</v>
      </c>
      <c r="AQ8" s="14">
        <v>3</v>
      </c>
      <c r="AR8" s="14">
        <v>0.23749999999999999</v>
      </c>
      <c r="AS8" s="14">
        <v>0.18333333299999999</v>
      </c>
      <c r="AT8" s="14">
        <v>0.26250000000000001</v>
      </c>
      <c r="AU8" s="14">
        <v>0.21304347800000001</v>
      </c>
      <c r="AV8" s="8">
        <v>18</v>
      </c>
      <c r="AW8" s="8">
        <v>22</v>
      </c>
      <c r="AX8" s="8">
        <v>10</v>
      </c>
      <c r="AY8" s="8">
        <v>4.2000000000000003E-2</v>
      </c>
      <c r="AZ8" s="8">
        <v>0.19500000000000001</v>
      </c>
      <c r="BA8" s="8">
        <v>25</v>
      </c>
      <c r="BB8" s="8">
        <v>62</v>
      </c>
      <c r="BC8" s="14">
        <v>1020</v>
      </c>
      <c r="BD8" s="14">
        <v>234</v>
      </c>
    </row>
    <row r="9" spans="1:65" x14ac:dyDescent="0.25">
      <c r="A9">
        <v>4</v>
      </c>
      <c r="B9" s="2">
        <v>45481</v>
      </c>
      <c r="C9" t="s">
        <v>261</v>
      </c>
      <c r="D9" s="14">
        <v>19.5</v>
      </c>
      <c r="E9" s="14">
        <v>19.3</v>
      </c>
      <c r="F9" s="14">
        <v>22.5</v>
      </c>
      <c r="G9" s="14">
        <v>18.5</v>
      </c>
      <c r="H9" s="14">
        <v>84.2</v>
      </c>
      <c r="I9" s="14">
        <v>80.2</v>
      </c>
      <c r="J9" s="14">
        <v>58.2</v>
      </c>
      <c r="K9" s="14">
        <v>63.2</v>
      </c>
      <c r="L9" s="14">
        <v>2.1</v>
      </c>
      <c r="M9" s="14">
        <v>3.2</v>
      </c>
      <c r="N9" s="14">
        <v>0</v>
      </c>
      <c r="O9" s="14">
        <v>0.1</v>
      </c>
      <c r="P9" s="14">
        <v>13.9</v>
      </c>
      <c r="Q9" s="14">
        <v>19.5</v>
      </c>
      <c r="R9" s="14">
        <v>29.5</v>
      </c>
      <c r="S9" s="14">
        <v>25.8</v>
      </c>
      <c r="T9" s="14">
        <v>1018.5</v>
      </c>
      <c r="U9" s="14">
        <v>1013.8</v>
      </c>
      <c r="V9" s="14">
        <v>1011.2</v>
      </c>
      <c r="W9" s="14">
        <v>1013.2</v>
      </c>
      <c r="AB9" s="14">
        <v>20.883333329999999</v>
      </c>
      <c r="AC9" s="14">
        <v>14.59583333</v>
      </c>
      <c r="AD9" s="14">
        <v>13.4625</v>
      </c>
      <c r="AE9" s="14">
        <v>11.465217389999999</v>
      </c>
      <c r="AG9" s="14">
        <v>14.1</v>
      </c>
      <c r="AH9" s="14">
        <v>14.8</v>
      </c>
      <c r="AI9" s="14">
        <v>9.6</v>
      </c>
      <c r="AJ9" s="14">
        <v>15.56666667</v>
      </c>
      <c r="AK9" s="14">
        <v>8.9</v>
      </c>
      <c r="AL9" s="14">
        <v>11.74583333</v>
      </c>
      <c r="AM9" s="14">
        <v>14.99565217</v>
      </c>
      <c r="AN9" s="14">
        <v>3.8083333330000002</v>
      </c>
      <c r="AO9" s="14">
        <v>4.483333333</v>
      </c>
      <c r="AP9" s="14">
        <v>4.4041666670000001</v>
      </c>
      <c r="AQ9" s="14">
        <v>3</v>
      </c>
      <c r="AR9" s="14">
        <v>0.23749999999999999</v>
      </c>
      <c r="AS9" s="14">
        <v>0.18333333299999999</v>
      </c>
      <c r="AT9" s="14">
        <v>0.26250000000000001</v>
      </c>
      <c r="AU9" s="14">
        <v>0.21304347800000001</v>
      </c>
      <c r="AV9" s="8">
        <v>20.66667</v>
      </c>
      <c r="AW9" s="8">
        <v>26</v>
      </c>
      <c r="AX9" s="8">
        <v>12</v>
      </c>
      <c r="AY9" s="8">
        <v>4.8333000000000001E-2</v>
      </c>
      <c r="AZ9" s="8">
        <v>0.22666700000000001</v>
      </c>
      <c r="BA9" s="8">
        <v>25</v>
      </c>
      <c r="BB9" s="8">
        <v>53</v>
      </c>
      <c r="BC9" s="14">
        <v>1019</v>
      </c>
      <c r="BD9" s="14">
        <v>224</v>
      </c>
    </row>
    <row r="10" spans="1:65" x14ac:dyDescent="0.25">
      <c r="A10">
        <v>5</v>
      </c>
      <c r="B10" s="2">
        <v>45558</v>
      </c>
      <c r="C10" t="s">
        <v>260</v>
      </c>
      <c r="D10" s="14">
        <v>14.7</v>
      </c>
      <c r="E10" s="14">
        <v>14</v>
      </c>
      <c r="F10" s="14">
        <v>13.7</v>
      </c>
      <c r="G10" s="14">
        <v>14.6</v>
      </c>
      <c r="H10" s="14">
        <v>67.8</v>
      </c>
      <c r="I10" s="14">
        <v>69.400000000000006</v>
      </c>
      <c r="J10" s="14">
        <v>66.5</v>
      </c>
      <c r="K10" s="14">
        <v>62</v>
      </c>
      <c r="L10" s="14">
        <v>0</v>
      </c>
      <c r="M10" s="14">
        <v>0</v>
      </c>
      <c r="N10" s="14">
        <v>0</v>
      </c>
      <c r="O10" s="14">
        <v>0</v>
      </c>
      <c r="P10" s="14">
        <v>12</v>
      </c>
      <c r="Q10" s="14">
        <v>6.5</v>
      </c>
      <c r="R10" s="14">
        <v>5.6</v>
      </c>
      <c r="S10" s="14">
        <v>8.9</v>
      </c>
      <c r="T10" s="14">
        <v>1014</v>
      </c>
      <c r="U10" s="14">
        <v>1020.4</v>
      </c>
      <c r="V10" s="14">
        <v>1025.4000000000001</v>
      </c>
      <c r="W10" s="14">
        <v>1026.0999999999999</v>
      </c>
      <c r="AB10" s="14">
        <v>34.6875</v>
      </c>
      <c r="AC10" s="14">
        <v>38.479166669999998</v>
      </c>
      <c r="AD10" s="14">
        <v>36.641666669999999</v>
      </c>
      <c r="AE10" s="14">
        <v>29.99130435</v>
      </c>
      <c r="AF10" s="14">
        <v>20</v>
      </c>
      <c r="AG10" s="14">
        <v>24.6</v>
      </c>
      <c r="AH10" s="14">
        <v>19.3</v>
      </c>
      <c r="AI10" s="14">
        <v>18.100000000000001</v>
      </c>
      <c r="AJ10" s="14">
        <v>33.495833330000004</v>
      </c>
      <c r="AK10" s="14">
        <v>24.104166670000001</v>
      </c>
      <c r="AL10" s="14">
        <v>27.404166669999999</v>
      </c>
      <c r="AM10" s="14">
        <v>22.069565220000001</v>
      </c>
      <c r="AN10" s="14">
        <v>7.4124999999999996</v>
      </c>
      <c r="AO10" s="14">
        <v>6.016666667</v>
      </c>
      <c r="AP10" s="14">
        <v>6.5666666669999998</v>
      </c>
      <c r="AQ10" s="14">
        <v>4.7565217390000001</v>
      </c>
      <c r="AR10" s="14">
        <v>0.41249999999999998</v>
      </c>
      <c r="AS10" s="14">
        <v>0.46250000000000002</v>
      </c>
      <c r="AT10" s="14">
        <v>0.39166666700000002</v>
      </c>
      <c r="AU10" s="14">
        <v>0.26956521700000002</v>
      </c>
      <c r="AV10" s="8">
        <v>16</v>
      </c>
      <c r="AW10" s="8">
        <v>20.33333</v>
      </c>
      <c r="AX10" s="8">
        <v>9.3333329999999997</v>
      </c>
      <c r="AY10" s="8">
        <v>3.7332999999999998E-2</v>
      </c>
      <c r="AZ10" s="8">
        <v>0.17199999999999999</v>
      </c>
      <c r="BA10" s="8">
        <v>19</v>
      </c>
      <c r="BB10" s="8">
        <v>49</v>
      </c>
      <c r="BC10" s="14">
        <v>1019</v>
      </c>
      <c r="BD10" s="14">
        <v>225</v>
      </c>
    </row>
    <row r="11" spans="1:65" x14ac:dyDescent="0.25">
      <c r="A11">
        <v>5</v>
      </c>
      <c r="B11" s="2">
        <v>45558</v>
      </c>
      <c r="C11" t="s">
        <v>261</v>
      </c>
      <c r="D11" s="14">
        <v>14.7</v>
      </c>
      <c r="E11" s="14">
        <v>14</v>
      </c>
      <c r="F11" s="14">
        <v>13.7</v>
      </c>
      <c r="G11" s="14">
        <v>14.6</v>
      </c>
      <c r="H11" s="14">
        <v>67.7</v>
      </c>
      <c r="I11" s="14">
        <v>69.2</v>
      </c>
      <c r="J11" s="14">
        <v>66.3</v>
      </c>
      <c r="K11" s="14">
        <v>62.2</v>
      </c>
      <c r="L11" s="14">
        <v>0</v>
      </c>
      <c r="M11" s="14">
        <v>0</v>
      </c>
      <c r="N11" s="14">
        <v>0</v>
      </c>
      <c r="O11" s="14">
        <v>0</v>
      </c>
      <c r="P11" s="14">
        <v>12.2</v>
      </c>
      <c r="Q11" s="14">
        <v>6.5</v>
      </c>
      <c r="R11" s="14">
        <v>5.6</v>
      </c>
      <c r="S11" s="14">
        <v>8.9</v>
      </c>
      <c r="T11" s="14">
        <v>1014</v>
      </c>
      <c r="U11" s="14">
        <v>1020.4</v>
      </c>
      <c r="V11" s="14">
        <v>1025.4000000000001</v>
      </c>
      <c r="W11" s="14">
        <v>1026.0999999999999</v>
      </c>
      <c r="AB11" s="14">
        <v>34.6875</v>
      </c>
      <c r="AC11" s="14">
        <v>38.479166669999998</v>
      </c>
      <c r="AD11" s="14">
        <v>36.641666669999999</v>
      </c>
      <c r="AE11" s="14">
        <v>29.99130435</v>
      </c>
      <c r="AF11" s="14">
        <v>20</v>
      </c>
      <c r="AG11" s="14">
        <v>24.6</v>
      </c>
      <c r="AH11" s="14">
        <v>19.3</v>
      </c>
      <c r="AI11" s="14">
        <v>18.100000000000001</v>
      </c>
      <c r="AJ11" s="14">
        <v>33.495833330000004</v>
      </c>
      <c r="AK11" s="14">
        <v>24.104166670000001</v>
      </c>
      <c r="AL11" s="14">
        <v>27.404166669999999</v>
      </c>
      <c r="AM11" s="14">
        <v>22.069565220000001</v>
      </c>
      <c r="AN11" s="14">
        <v>7.4124999999999996</v>
      </c>
      <c r="AO11" s="14">
        <v>6.016666667</v>
      </c>
      <c r="AP11" s="14">
        <v>6.5666666669999998</v>
      </c>
      <c r="AQ11" s="14">
        <v>4.7565217390000001</v>
      </c>
      <c r="AR11" s="14">
        <v>0.41249999999999998</v>
      </c>
      <c r="AS11" s="14">
        <v>0.46250000000000002</v>
      </c>
      <c r="AT11" s="14">
        <v>0.39166666700000002</v>
      </c>
      <c r="AU11" s="14">
        <v>0.26956521700000002</v>
      </c>
      <c r="AV11" s="8">
        <v>16.66667</v>
      </c>
      <c r="AW11" s="8">
        <v>20.66667</v>
      </c>
      <c r="AX11" s="8">
        <v>9.3333329999999997</v>
      </c>
      <c r="AY11" s="8">
        <v>2.7E-2</v>
      </c>
      <c r="AZ11" s="8">
        <v>0.127667</v>
      </c>
      <c r="BA11" s="8">
        <v>19</v>
      </c>
      <c r="BB11" s="8">
        <v>44</v>
      </c>
    </row>
    <row r="12" spans="1:65" x14ac:dyDescent="0.25">
      <c r="A12">
        <v>6</v>
      </c>
      <c r="B12" s="2">
        <v>45601</v>
      </c>
      <c r="C12" t="s">
        <v>260</v>
      </c>
      <c r="D12" s="14">
        <v>4.7</v>
      </c>
      <c r="E12" s="14">
        <v>4.4000000000000004</v>
      </c>
      <c r="F12" s="14">
        <v>2.2000000000000002</v>
      </c>
      <c r="G12" s="14">
        <v>6.3</v>
      </c>
      <c r="H12" s="14">
        <v>87.4</v>
      </c>
      <c r="I12" s="14">
        <v>90.7</v>
      </c>
      <c r="J12" s="14">
        <v>72.900000000000006</v>
      </c>
      <c r="K12" s="14">
        <v>82.1</v>
      </c>
      <c r="L12" s="14">
        <v>0</v>
      </c>
      <c r="M12" s="14">
        <v>0.223</v>
      </c>
      <c r="N12" s="14">
        <v>0</v>
      </c>
      <c r="O12" s="14">
        <v>0.76100000000000001</v>
      </c>
      <c r="P12" s="14">
        <v>9.4</v>
      </c>
      <c r="Q12" s="14">
        <v>7.6</v>
      </c>
      <c r="R12" s="14">
        <v>8.1999999999999993</v>
      </c>
      <c r="S12" s="14">
        <v>11.5</v>
      </c>
      <c r="T12" s="14">
        <v>1030.9000000000001</v>
      </c>
      <c r="U12" s="14">
        <v>1031.0999999999999</v>
      </c>
      <c r="V12" s="14">
        <v>1032.5</v>
      </c>
      <c r="W12" s="14">
        <v>1027.9000000000001</v>
      </c>
      <c r="AB12" s="14">
        <v>50.6875</v>
      </c>
      <c r="AC12" s="14">
        <v>32.712499999999999</v>
      </c>
      <c r="AD12" s="14">
        <v>55.179166670000001</v>
      </c>
      <c r="AE12" s="14">
        <v>21.690909090000002</v>
      </c>
      <c r="AF12" s="14">
        <v>36.6</v>
      </c>
      <c r="AG12" s="14">
        <v>24.5</v>
      </c>
      <c r="AH12" s="14">
        <v>35.200000000000003</v>
      </c>
      <c r="AI12" s="14">
        <v>21</v>
      </c>
      <c r="AJ12" s="14">
        <v>34.066666669999996</v>
      </c>
      <c r="AK12" s="14">
        <v>23.279166669999999</v>
      </c>
      <c r="AL12" s="14">
        <v>23.166666670000001</v>
      </c>
      <c r="AM12" s="14">
        <v>17.826086960000001</v>
      </c>
      <c r="AN12" s="14">
        <v>6.5</v>
      </c>
      <c r="AO12" s="14">
        <v>5.9</v>
      </c>
      <c r="AP12" s="14">
        <v>10.704166669999999</v>
      </c>
      <c r="AQ12" s="14">
        <v>4.5782608700000003</v>
      </c>
      <c r="AR12" s="14">
        <v>0.73043478299999998</v>
      </c>
      <c r="AS12" s="14">
        <v>0.4375</v>
      </c>
      <c r="AT12" s="14">
        <v>0.74583333299999999</v>
      </c>
      <c r="AU12" s="14">
        <v>0.33043478300000001</v>
      </c>
      <c r="AV12" s="14">
        <v>45.333333330000002</v>
      </c>
      <c r="AW12" s="14">
        <v>58.666666669999998</v>
      </c>
      <c r="AX12" s="14">
        <v>27.666666670000001</v>
      </c>
      <c r="AY12" s="21">
        <v>4.9333333E-2</v>
      </c>
      <c r="AZ12" s="21">
        <v>0.22966666699999999</v>
      </c>
      <c r="BA12" s="14">
        <v>6.3333333329999997</v>
      </c>
      <c r="BB12" s="14">
        <v>66.333333330000002</v>
      </c>
      <c r="BC12" s="14">
        <v>1021</v>
      </c>
    </row>
    <row r="13" spans="1:65" x14ac:dyDescent="0.25">
      <c r="A13">
        <v>6</v>
      </c>
      <c r="B13" s="2">
        <v>45601</v>
      </c>
      <c r="C13" t="s">
        <v>261</v>
      </c>
      <c r="D13" s="14">
        <v>4.7</v>
      </c>
      <c r="E13" s="14">
        <v>4.3</v>
      </c>
      <c r="F13" s="14">
        <v>2.2000000000000002</v>
      </c>
      <c r="G13" s="14">
        <v>6.3</v>
      </c>
      <c r="H13" s="14">
        <v>87.3</v>
      </c>
      <c r="I13" s="14">
        <v>90.6</v>
      </c>
      <c r="J13" s="14">
        <v>72.7</v>
      </c>
      <c r="K13" s="14">
        <v>82.3</v>
      </c>
      <c r="L13" s="14">
        <v>0</v>
      </c>
      <c r="M13" s="14">
        <v>0.223</v>
      </c>
      <c r="N13" s="14">
        <v>0</v>
      </c>
      <c r="O13" s="14">
        <v>0.77700000000000002</v>
      </c>
      <c r="P13" s="14">
        <v>9.5</v>
      </c>
      <c r="Q13" s="14">
        <v>7.8</v>
      </c>
      <c r="R13" s="14">
        <v>8.3000000000000007</v>
      </c>
      <c r="S13" s="14">
        <v>11.6</v>
      </c>
      <c r="T13" s="14">
        <v>1030.9000000000001</v>
      </c>
      <c r="U13" s="14">
        <v>1031.0999999999999</v>
      </c>
      <c r="V13" s="14">
        <v>1032.5</v>
      </c>
      <c r="W13" s="14">
        <v>1027.9000000000001</v>
      </c>
      <c r="AB13" s="14">
        <v>50.6875</v>
      </c>
      <c r="AC13" s="14">
        <v>32.712499999999999</v>
      </c>
      <c r="AD13" s="14">
        <v>55.179166670000001</v>
      </c>
      <c r="AE13" s="14">
        <v>21.690909090000002</v>
      </c>
      <c r="AF13" s="14">
        <v>36.6</v>
      </c>
      <c r="AG13" s="14">
        <v>24.5</v>
      </c>
      <c r="AH13" s="14">
        <v>35.200000000000003</v>
      </c>
      <c r="AI13" s="14">
        <v>21</v>
      </c>
      <c r="AJ13" s="14">
        <v>34.066666669999996</v>
      </c>
      <c r="AK13" s="14">
        <v>23.279166669999999</v>
      </c>
      <c r="AL13" s="14">
        <v>23.166666670000001</v>
      </c>
      <c r="AM13" s="14">
        <v>17.826086960000001</v>
      </c>
      <c r="AN13" s="14">
        <v>6.5</v>
      </c>
      <c r="AO13" s="14">
        <v>5.9</v>
      </c>
      <c r="AP13" s="14">
        <v>10.704166669999999</v>
      </c>
      <c r="AQ13" s="14">
        <v>4.5782608700000003</v>
      </c>
      <c r="AR13" s="14">
        <v>0.73043478299999998</v>
      </c>
      <c r="AS13" s="14">
        <v>0.4375</v>
      </c>
      <c r="AT13" s="14">
        <v>0.74583333299999999</v>
      </c>
      <c r="AU13" s="14">
        <v>0.33043478300000001</v>
      </c>
      <c r="AV13" s="14">
        <v>44.666666669999998</v>
      </c>
      <c r="AW13" s="14">
        <v>56.333333330000002</v>
      </c>
      <c r="AX13" s="14">
        <v>26</v>
      </c>
      <c r="AY13" s="14">
        <v>3.8666667000000002E-2</v>
      </c>
      <c r="AZ13" s="14">
        <v>0.17833333300000001</v>
      </c>
      <c r="BA13" s="14">
        <v>2</v>
      </c>
      <c r="BB13" s="14">
        <v>76.666666669999998</v>
      </c>
    </row>
    <row r="14" spans="1:65" x14ac:dyDescent="0.25">
      <c r="A14">
        <v>7</v>
      </c>
      <c r="B14" s="2">
        <v>45674</v>
      </c>
      <c r="C14" t="s">
        <v>260</v>
      </c>
      <c r="AB14" s="9">
        <v>34.799999999999997</v>
      </c>
      <c r="AC14" s="9">
        <v>15.5</v>
      </c>
      <c r="AD14" s="9">
        <v>20.8</v>
      </c>
      <c r="AE14" s="9">
        <v>19.2</v>
      </c>
      <c r="AF14" s="14">
        <v>16.2</v>
      </c>
      <c r="AG14" s="14">
        <v>15.3</v>
      </c>
      <c r="AH14" s="14">
        <v>18.2</v>
      </c>
      <c r="AI14" s="14">
        <v>24.3</v>
      </c>
      <c r="AJ14" s="14">
        <v>15.59166667</v>
      </c>
      <c r="AK14" s="14">
        <v>25.729166670000001</v>
      </c>
      <c r="AL14" s="14">
        <v>25.720833330000001</v>
      </c>
      <c r="AM14" s="14">
        <v>29.00434783</v>
      </c>
      <c r="AN14" s="14">
        <v>5.795833333</v>
      </c>
      <c r="AO14" s="14">
        <v>6.1166666669999996</v>
      </c>
      <c r="AP14" s="14">
        <v>6.8208333330000004</v>
      </c>
      <c r="AQ14" s="14">
        <v>14.839130430000001</v>
      </c>
      <c r="AR14" s="14">
        <v>0.24208333300000001</v>
      </c>
      <c r="AS14" s="14">
        <v>0.3725</v>
      </c>
      <c r="AT14" s="14">
        <v>0.41291666700000001</v>
      </c>
      <c r="AU14" s="14">
        <v>0.421304348</v>
      </c>
    </row>
    <row r="15" spans="1:65" x14ac:dyDescent="0.25">
      <c r="A15">
        <v>7</v>
      </c>
      <c r="B15" s="2">
        <v>45674</v>
      </c>
      <c r="C15" t="s">
        <v>261</v>
      </c>
      <c r="AB15" s="9">
        <v>34.799999999999997</v>
      </c>
      <c r="AC15" s="9">
        <v>15.5</v>
      </c>
      <c r="AD15" s="9">
        <v>20.8</v>
      </c>
      <c r="AE15" s="9">
        <v>19.2</v>
      </c>
      <c r="AF15" s="14">
        <v>16.2</v>
      </c>
      <c r="AG15" s="14">
        <v>15.3</v>
      </c>
      <c r="AH15" s="14">
        <v>18.2</v>
      </c>
      <c r="AI15" s="14">
        <v>24.3</v>
      </c>
      <c r="AJ15" s="14">
        <v>15.59166667</v>
      </c>
      <c r="AK15" s="14">
        <v>25.729166670000001</v>
      </c>
      <c r="AL15" s="14">
        <v>25.720833330000001</v>
      </c>
      <c r="AM15" s="14">
        <v>29.00434783</v>
      </c>
      <c r="AN15" s="14">
        <v>5.795833333</v>
      </c>
      <c r="AO15" s="14">
        <v>6.1166666669999996</v>
      </c>
      <c r="AP15" s="14">
        <v>6.8208333330000004</v>
      </c>
      <c r="AQ15" s="14">
        <v>14.839130430000001</v>
      </c>
      <c r="AR15" s="14">
        <v>0.24208333300000001</v>
      </c>
      <c r="AS15" s="14">
        <v>0.3725</v>
      </c>
      <c r="AT15" s="14">
        <v>0.41291666700000001</v>
      </c>
      <c r="AU15" s="14">
        <v>0.421304348</v>
      </c>
    </row>
    <row r="16" spans="1:65" x14ac:dyDescent="0.25">
      <c r="A16">
        <v>8</v>
      </c>
      <c r="B16" s="2">
        <v>45726</v>
      </c>
      <c r="C16" t="s">
        <v>260</v>
      </c>
      <c r="AB16" s="14">
        <v>39.758333329999999</v>
      </c>
      <c r="AC16" s="14">
        <v>55.395833330000002</v>
      </c>
      <c r="AD16" s="14">
        <v>84.341666669999995</v>
      </c>
      <c r="AE16" s="14">
        <v>66.2</v>
      </c>
      <c r="AJ16" s="14">
        <v>29.966666669999999</v>
      </c>
      <c r="AK16" s="14">
        <v>31.987500000000001</v>
      </c>
      <c r="AL16" s="14">
        <v>53.666666669999998</v>
      </c>
      <c r="AM16" s="14">
        <v>59.665217390000002</v>
      </c>
      <c r="AN16" s="14">
        <v>12.02083333</v>
      </c>
      <c r="AO16" s="14">
        <v>14.7125</v>
      </c>
      <c r="AP16" s="14">
        <v>25.104166670000001</v>
      </c>
      <c r="AQ16" s="14">
        <v>25.934782609999999</v>
      </c>
      <c r="AR16" s="14">
        <v>0.48541666700000002</v>
      </c>
      <c r="AS16" s="14">
        <v>0.60583333299999997</v>
      </c>
      <c r="AT16" s="14">
        <v>0.95750000000000002</v>
      </c>
      <c r="AU16" s="14">
        <v>0.86391304300000005</v>
      </c>
    </row>
    <row r="17" spans="1:47" x14ac:dyDescent="0.25">
      <c r="A17">
        <v>8</v>
      </c>
      <c r="B17" s="2">
        <v>45726</v>
      </c>
      <c r="C17" t="s">
        <v>261</v>
      </c>
      <c r="AB17" s="14">
        <v>39.758333329999999</v>
      </c>
      <c r="AC17" s="14">
        <v>55.395833330000002</v>
      </c>
      <c r="AD17" s="14">
        <v>84.341666669999995</v>
      </c>
      <c r="AE17" s="14">
        <v>66.2</v>
      </c>
      <c r="AJ17" s="14">
        <v>29.966666669999999</v>
      </c>
      <c r="AK17" s="14">
        <v>31.987500000000001</v>
      </c>
      <c r="AL17" s="14">
        <v>53.666666669999998</v>
      </c>
      <c r="AM17" s="14">
        <v>59.665217390000002</v>
      </c>
      <c r="AN17" s="14">
        <v>12.02083333</v>
      </c>
      <c r="AO17" s="14">
        <v>14.7125</v>
      </c>
      <c r="AP17" s="14">
        <v>25.104166670000001</v>
      </c>
      <c r="AQ17" s="14">
        <v>25.934782609999999</v>
      </c>
      <c r="AR17" s="14">
        <v>0.48541666700000002</v>
      </c>
      <c r="AS17" s="14">
        <v>0.60583333299999997</v>
      </c>
      <c r="AT17" s="14">
        <v>0.95750000000000002</v>
      </c>
      <c r="AU17" s="14">
        <v>0.86391304300000005</v>
      </c>
    </row>
    <row r="18" spans="1:47" x14ac:dyDescent="0.25">
      <c r="A18">
        <v>9</v>
      </c>
      <c r="B18" s="2">
        <v>45797</v>
      </c>
      <c r="C18" t="s">
        <v>260</v>
      </c>
    </row>
    <row r="19" spans="1:47" x14ac:dyDescent="0.25">
      <c r="A19">
        <v>9</v>
      </c>
      <c r="B19" s="2">
        <v>45797</v>
      </c>
      <c r="C19" t="s">
        <v>261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D853-15EA-4A57-8877-89D1936B27A3}">
  <dimension ref="A1:CH4"/>
  <sheetViews>
    <sheetView topLeftCell="AE1" workbookViewId="0">
      <selection activeCell="BS17" sqref="BS17"/>
    </sheetView>
  </sheetViews>
  <sheetFormatPr defaultRowHeight="15" outlineLevelCol="1" x14ac:dyDescent="0.25"/>
  <cols>
    <col min="2" max="2" width="10.85546875" bestFit="1" customWidth="1"/>
    <col min="4" max="6" width="9.140625" hidden="1" customWidth="1" outlineLevel="1"/>
    <col min="7" max="7" width="9.140625" collapsed="1"/>
    <col min="8" max="10" width="9.140625" hidden="1" customWidth="1" outlineLevel="1"/>
    <col min="11" max="11" width="9.140625" collapsed="1"/>
    <col min="12" max="14" width="9.140625" hidden="1" customWidth="1" outlineLevel="1"/>
    <col min="15" max="15" width="9.140625" collapsed="1"/>
    <col min="16" max="18" width="9.140625" hidden="1" customWidth="1" outlineLevel="1"/>
    <col min="19" max="19" width="9.140625" collapsed="1"/>
    <col min="20" max="22" width="0" hidden="1" customWidth="1" outlineLevel="1"/>
    <col min="23" max="23" width="9.140625" collapsed="1"/>
    <col min="24" max="26" width="9.140625" hidden="1" customWidth="1" outlineLevel="1"/>
    <col min="27" max="27" width="9.140625" collapsed="1"/>
    <col min="28" max="30" width="9.140625" hidden="1" customWidth="1" outlineLevel="1"/>
    <col min="31" max="31" width="9.140625" collapsed="1"/>
    <col min="32" max="34" width="0" hidden="1" customWidth="1" outlineLevel="1"/>
    <col min="35" max="35" width="9.140625" collapsed="1"/>
    <col min="36" max="38" width="9.140625" hidden="1" customWidth="1" outlineLevel="1"/>
    <col min="39" max="39" width="9.140625" collapsed="1"/>
    <col min="40" max="42" width="9.140625" hidden="1" customWidth="1" outlineLevel="1"/>
    <col min="43" max="43" width="9.140625" collapsed="1"/>
    <col min="44" max="46" width="9.140625" hidden="1" customWidth="1" outlineLevel="1"/>
    <col min="47" max="47" width="9.140625" collapsed="1"/>
    <col min="48" max="50" width="9.140625" hidden="1" customWidth="1" outlineLevel="1"/>
    <col min="51" max="51" width="9.140625" collapsed="1"/>
    <col min="52" max="54" width="9.140625" hidden="1" customWidth="1" outlineLevel="1"/>
    <col min="55" max="55" width="9.140625" collapsed="1"/>
    <col min="56" max="58" width="9.140625" hidden="1" customWidth="1" outlineLevel="1"/>
    <col min="59" max="59" width="9.140625" collapsed="1"/>
    <col min="60" max="62" width="9.140625" hidden="1" customWidth="1" outlineLevel="1"/>
    <col min="63" max="63" width="9.140625" collapsed="1"/>
  </cols>
  <sheetData>
    <row r="1" spans="1:86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  <c r="L1" t="s">
        <v>3</v>
      </c>
      <c r="M1" t="s">
        <v>4</v>
      </c>
      <c r="N1" t="s">
        <v>5</v>
      </c>
      <c r="O1" t="s">
        <v>8</v>
      </c>
      <c r="P1" t="s">
        <v>3</v>
      </c>
      <c r="Q1" t="s">
        <v>4</v>
      </c>
      <c r="R1" t="s">
        <v>5</v>
      </c>
      <c r="S1" t="s">
        <v>235</v>
      </c>
      <c r="T1" t="s">
        <v>3</v>
      </c>
      <c r="U1" t="s">
        <v>4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14</v>
      </c>
      <c r="AE1" t="s">
        <v>18</v>
      </c>
      <c r="AF1" t="s">
        <v>3</v>
      </c>
      <c r="AG1" t="s">
        <v>19</v>
      </c>
      <c r="AH1" t="s">
        <v>20</v>
      </c>
      <c r="AI1" t="s">
        <v>21</v>
      </c>
      <c r="AJ1" t="s">
        <v>3</v>
      </c>
      <c r="AK1" t="s">
        <v>19</v>
      </c>
      <c r="AL1" t="s">
        <v>14</v>
      </c>
      <c r="AM1" t="s">
        <v>22</v>
      </c>
      <c r="AN1" t="s">
        <v>3</v>
      </c>
      <c r="AO1" t="s">
        <v>19</v>
      </c>
      <c r="AP1" t="s">
        <v>14</v>
      </c>
      <c r="AQ1" t="s">
        <v>23</v>
      </c>
      <c r="AR1" t="s">
        <v>3</v>
      </c>
      <c r="AS1" t="s">
        <v>19</v>
      </c>
      <c r="AT1" t="s">
        <v>14</v>
      </c>
      <c r="AU1" t="s">
        <v>24</v>
      </c>
      <c r="AV1" t="s">
        <v>3</v>
      </c>
      <c r="AW1" t="s">
        <v>19</v>
      </c>
      <c r="AX1" t="s">
        <v>14</v>
      </c>
      <c r="AY1" t="s">
        <v>25</v>
      </c>
      <c r="AZ1" t="s">
        <v>3</v>
      </c>
      <c r="BA1" t="s">
        <v>19</v>
      </c>
      <c r="BB1" t="s">
        <v>14</v>
      </c>
      <c r="BC1" t="s">
        <v>26</v>
      </c>
      <c r="BD1" t="s">
        <v>3</v>
      </c>
      <c r="BE1" t="s">
        <v>19</v>
      </c>
      <c r="BF1" t="s">
        <v>14</v>
      </c>
      <c r="BG1" t="s">
        <v>27</v>
      </c>
      <c r="BH1" t="s">
        <v>3</v>
      </c>
      <c r="BI1" t="s">
        <v>19</v>
      </c>
      <c r="BJ1" t="s">
        <v>14</v>
      </c>
      <c r="BK1" t="s">
        <v>28</v>
      </c>
      <c r="BL1" s="4" t="s">
        <v>29</v>
      </c>
      <c r="BM1" s="4" t="s">
        <v>30</v>
      </c>
      <c r="BN1" s="4" t="s">
        <v>31</v>
      </c>
      <c r="BO1" s="5" t="s">
        <v>32</v>
      </c>
      <c r="BP1" s="4" t="s">
        <v>33</v>
      </c>
      <c r="BQ1" s="4" t="s">
        <v>267</v>
      </c>
      <c r="BR1" s="4" t="s">
        <v>42</v>
      </c>
      <c r="BS1" s="4" t="s">
        <v>38</v>
      </c>
      <c r="BT1" s="4" t="s">
        <v>39</v>
      </c>
      <c r="BU1" s="4" t="s">
        <v>40</v>
      </c>
      <c r="BV1" s="4" t="s">
        <v>41</v>
      </c>
      <c r="BW1" s="6" t="s">
        <v>29</v>
      </c>
      <c r="BX1" s="6" t="s">
        <v>30</v>
      </c>
      <c r="BY1" s="6" t="s">
        <v>31</v>
      </c>
      <c r="BZ1" s="7" t="s">
        <v>32</v>
      </c>
      <c r="CA1" s="6" t="s">
        <v>33</v>
      </c>
      <c r="CB1" s="6" t="s">
        <v>42</v>
      </c>
      <c r="CC1" s="6" t="s">
        <v>258</v>
      </c>
      <c r="CD1" s="6" t="s">
        <v>39</v>
      </c>
      <c r="CE1" s="6" t="s">
        <v>41</v>
      </c>
      <c r="CG1" s="4"/>
      <c r="CH1" t="s">
        <v>44</v>
      </c>
    </row>
    <row r="2" spans="1:86" x14ac:dyDescent="0.25">
      <c r="A2">
        <v>1</v>
      </c>
      <c r="B2" t="s">
        <v>268</v>
      </c>
      <c r="C2" t="s">
        <v>269</v>
      </c>
      <c r="D2">
        <v>3.3</v>
      </c>
      <c r="E2">
        <v>4.5</v>
      </c>
      <c r="F2">
        <v>4.3</v>
      </c>
      <c r="G2" t="s">
        <v>270</v>
      </c>
      <c r="H2">
        <v>91</v>
      </c>
      <c r="I2">
        <v>89.5</v>
      </c>
      <c r="J2">
        <v>92.7</v>
      </c>
      <c r="K2" t="s">
        <v>271</v>
      </c>
      <c r="L2">
        <v>1010</v>
      </c>
      <c r="M2">
        <v>1006</v>
      </c>
      <c r="N2">
        <v>1002</v>
      </c>
      <c r="O2">
        <v>991</v>
      </c>
      <c r="P2">
        <v>2.7</v>
      </c>
      <c r="Q2">
        <v>2.6</v>
      </c>
      <c r="R2">
        <v>3.3</v>
      </c>
      <c r="S2">
        <v>4</v>
      </c>
      <c r="X2">
        <v>36.4</v>
      </c>
      <c r="Y2">
        <v>82</v>
      </c>
      <c r="Z2">
        <v>20.7</v>
      </c>
      <c r="AA2" t="s">
        <v>272</v>
      </c>
      <c r="AB2" s="9">
        <v>11.1</v>
      </c>
      <c r="AC2" s="9">
        <v>11.6</v>
      </c>
      <c r="AD2" s="9">
        <v>3.6</v>
      </c>
      <c r="AE2" s="9" t="s">
        <v>273</v>
      </c>
      <c r="AI2">
        <v>7</v>
      </c>
      <c r="AJ2" s="9">
        <v>19.399999999999999</v>
      </c>
      <c r="AK2" s="9">
        <v>15.4</v>
      </c>
      <c r="AL2" s="9">
        <v>20.3</v>
      </c>
      <c r="AM2" s="9">
        <v>14.3</v>
      </c>
      <c r="AN2" s="9">
        <v>2.1</v>
      </c>
      <c r="AO2" s="9">
        <v>2.2999999999999998</v>
      </c>
      <c r="AP2" s="9">
        <v>3.4</v>
      </c>
      <c r="AQ2" s="9">
        <v>1.5</v>
      </c>
      <c r="AR2" s="9">
        <v>22.6</v>
      </c>
      <c r="AS2" s="9">
        <v>19</v>
      </c>
      <c r="AT2" s="9">
        <v>25.6</v>
      </c>
      <c r="AU2" s="9">
        <v>16.5</v>
      </c>
      <c r="AV2" s="9">
        <v>6.1</v>
      </c>
      <c r="AW2" s="9">
        <v>8.1999999999999993</v>
      </c>
      <c r="AX2" s="9">
        <v>8.8000000000000007</v>
      </c>
      <c r="AY2" s="9">
        <v>12.7</v>
      </c>
      <c r="AZ2" s="9">
        <v>0.6</v>
      </c>
      <c r="BA2" s="9">
        <v>0.6</v>
      </c>
      <c r="BB2" s="9">
        <v>0.5</v>
      </c>
      <c r="BC2" s="9">
        <v>0.5</v>
      </c>
      <c r="BD2" s="9">
        <v>0.4</v>
      </c>
      <c r="BE2" s="9">
        <v>0.5</v>
      </c>
      <c r="BF2" s="9">
        <v>0.3</v>
      </c>
      <c r="BG2" s="9">
        <v>0.3</v>
      </c>
      <c r="BH2" s="9">
        <v>23.8</v>
      </c>
      <c r="BI2" s="9">
        <v>29.7</v>
      </c>
      <c r="BJ2" s="9">
        <v>31.7</v>
      </c>
      <c r="BK2" s="9">
        <v>45.2</v>
      </c>
      <c r="BL2" t="s">
        <v>274</v>
      </c>
      <c r="BM2" t="s">
        <v>76</v>
      </c>
      <c r="BN2" s="11">
        <v>0.111</v>
      </c>
      <c r="BO2">
        <v>0</v>
      </c>
      <c r="BP2">
        <v>0</v>
      </c>
      <c r="BQ2">
        <v>0</v>
      </c>
      <c r="BR2">
        <v>0</v>
      </c>
      <c r="BS2">
        <v>0</v>
      </c>
      <c r="BT2" t="s">
        <v>275</v>
      </c>
      <c r="BU2" s="11">
        <v>0.1169</v>
      </c>
      <c r="BV2">
        <v>0</v>
      </c>
      <c r="BX2" t="s">
        <v>67</v>
      </c>
      <c r="BZ2">
        <v>0</v>
      </c>
      <c r="CA2">
        <v>0</v>
      </c>
      <c r="CB2">
        <v>0</v>
      </c>
      <c r="CC2">
        <v>0</v>
      </c>
      <c r="CD2" t="s">
        <v>67</v>
      </c>
      <c r="CE2">
        <v>0</v>
      </c>
    </row>
    <row r="3" spans="1:86" x14ac:dyDescent="0.25">
      <c r="A3">
        <v>2</v>
      </c>
      <c r="B3" s="2">
        <v>45499</v>
      </c>
      <c r="C3" t="s">
        <v>269</v>
      </c>
      <c r="D3">
        <v>20.6</v>
      </c>
      <c r="E3">
        <v>18.7</v>
      </c>
      <c r="F3">
        <v>18.100000000000001</v>
      </c>
      <c r="G3" t="s">
        <v>276</v>
      </c>
      <c r="H3">
        <v>72.2</v>
      </c>
      <c r="I3">
        <v>74.2</v>
      </c>
      <c r="J3">
        <v>63.6</v>
      </c>
      <c r="K3" t="s">
        <v>277</v>
      </c>
      <c r="L3">
        <v>1016</v>
      </c>
      <c r="M3">
        <v>1014</v>
      </c>
      <c r="N3">
        <v>1015</v>
      </c>
      <c r="O3" t="s">
        <v>278</v>
      </c>
      <c r="P3">
        <v>2.8</v>
      </c>
      <c r="Q3">
        <v>2.8</v>
      </c>
      <c r="R3">
        <v>2</v>
      </c>
      <c r="S3">
        <v>1.8</v>
      </c>
      <c r="X3" s="9">
        <v>3.3</v>
      </c>
      <c r="Y3" s="9">
        <v>8.8000000000000007</v>
      </c>
      <c r="Z3" s="9">
        <v>7.1</v>
      </c>
      <c r="AA3" s="9" t="s">
        <v>279</v>
      </c>
      <c r="AB3" s="9">
        <v>5.4</v>
      </c>
      <c r="AC3" s="9">
        <v>7.2</v>
      </c>
      <c r="AD3" s="9">
        <v>7.5</v>
      </c>
      <c r="AE3" s="9" t="s">
        <v>280</v>
      </c>
      <c r="AI3">
        <v>6</v>
      </c>
      <c r="AJ3" s="9">
        <v>13.9</v>
      </c>
      <c r="AK3" s="9">
        <v>11.4</v>
      </c>
      <c r="AL3" s="9">
        <v>17.399999999999999</v>
      </c>
      <c r="AM3" s="9">
        <v>21.1</v>
      </c>
      <c r="AN3" s="9">
        <v>3.1</v>
      </c>
      <c r="AO3" s="9">
        <v>2.6</v>
      </c>
      <c r="AP3" s="9">
        <v>7.4</v>
      </c>
      <c r="AQ3" s="9">
        <v>13.3</v>
      </c>
      <c r="AR3" s="9">
        <v>18.7</v>
      </c>
      <c r="AS3" s="9">
        <v>15.4</v>
      </c>
      <c r="AT3" s="9">
        <v>28.8</v>
      </c>
      <c r="AU3" s="9">
        <v>41.4</v>
      </c>
      <c r="AV3" s="9">
        <v>6.7</v>
      </c>
      <c r="AW3" s="9">
        <v>6.5</v>
      </c>
      <c r="AX3" s="9">
        <v>6.6</v>
      </c>
      <c r="AY3" s="9">
        <v>5.4</v>
      </c>
      <c r="AZ3" s="9">
        <v>0.2</v>
      </c>
      <c r="BA3" s="9">
        <v>0.2</v>
      </c>
      <c r="BB3" s="9">
        <v>0.2</v>
      </c>
      <c r="BC3" s="9">
        <v>0.3</v>
      </c>
      <c r="BD3" s="9">
        <v>0.2</v>
      </c>
      <c r="BE3" s="9">
        <v>0.2</v>
      </c>
      <c r="BF3" s="9">
        <v>0.2</v>
      </c>
      <c r="BG3" s="9">
        <v>0.3</v>
      </c>
      <c r="BH3" s="9">
        <v>55.4</v>
      </c>
      <c r="BI3" s="9">
        <v>49.9</v>
      </c>
      <c r="BJ3" s="9">
        <v>45.9</v>
      </c>
      <c r="BK3" s="9">
        <v>55.3</v>
      </c>
      <c r="BL3" t="s">
        <v>281</v>
      </c>
      <c r="BM3" t="s">
        <v>206</v>
      </c>
      <c r="BN3" s="11">
        <v>8.9200000000000002E-2</v>
      </c>
      <c r="BO3">
        <v>0</v>
      </c>
      <c r="BP3">
        <v>0</v>
      </c>
      <c r="BQ3">
        <v>2.74</v>
      </c>
      <c r="BR3">
        <v>0</v>
      </c>
      <c r="BS3">
        <v>4.63</v>
      </c>
      <c r="BT3">
        <v>0</v>
      </c>
      <c r="BU3">
        <v>0</v>
      </c>
      <c r="BV3">
        <v>0</v>
      </c>
    </row>
    <row r="4" spans="1:86" x14ac:dyDescent="0.25">
      <c r="A4">
        <v>3</v>
      </c>
      <c r="B4" s="2" t="s">
        <v>282</v>
      </c>
      <c r="C4" t="s">
        <v>269</v>
      </c>
      <c r="D4">
        <v>7</v>
      </c>
      <c r="E4">
        <v>6.4</v>
      </c>
      <c r="F4">
        <v>6</v>
      </c>
      <c r="G4" t="s">
        <v>283</v>
      </c>
      <c r="H4">
        <v>92.3</v>
      </c>
      <c r="I4">
        <v>84.1</v>
      </c>
      <c r="J4">
        <v>78.099999999999994</v>
      </c>
      <c r="K4" t="s">
        <v>284</v>
      </c>
      <c r="L4">
        <v>999</v>
      </c>
      <c r="M4">
        <v>1004</v>
      </c>
      <c r="N4">
        <v>1015</v>
      </c>
      <c r="O4">
        <v>1021</v>
      </c>
      <c r="P4">
        <v>2.5</v>
      </c>
      <c r="Q4">
        <v>3.7</v>
      </c>
      <c r="R4">
        <v>2.6</v>
      </c>
      <c r="S4">
        <v>5.0999999999999996</v>
      </c>
      <c r="X4" s="9">
        <v>32.119999999999997</v>
      </c>
      <c r="Y4" s="9">
        <v>22.23</v>
      </c>
      <c r="Z4" s="9">
        <v>48.87</v>
      </c>
      <c r="AA4" s="9" t="s">
        <v>285</v>
      </c>
      <c r="AB4" s="9">
        <v>27.32</v>
      </c>
      <c r="AC4" s="9">
        <v>12.03</v>
      </c>
      <c r="AD4" s="9">
        <v>17.55</v>
      </c>
      <c r="AE4" s="9" t="s">
        <v>286</v>
      </c>
      <c r="AI4">
        <v>8</v>
      </c>
      <c r="AJ4" s="9">
        <v>17.350000000000001</v>
      </c>
      <c r="AK4" s="9">
        <v>10.6</v>
      </c>
      <c r="AL4" s="9">
        <v>21.48</v>
      </c>
      <c r="AM4" s="9">
        <v>11.03</v>
      </c>
      <c r="AN4" s="9">
        <v>2.76</v>
      </c>
      <c r="AO4" s="9">
        <v>0.68</v>
      </c>
      <c r="AP4" s="9">
        <v>1.97</v>
      </c>
      <c r="AQ4" s="9">
        <v>0.61</v>
      </c>
      <c r="AR4" s="9">
        <v>21.55</v>
      </c>
      <c r="AS4" s="9">
        <v>11.64</v>
      </c>
      <c r="AT4" s="9">
        <v>24.49</v>
      </c>
      <c r="AU4" s="9">
        <v>11.97</v>
      </c>
      <c r="AV4" s="9">
        <v>3.02</v>
      </c>
      <c r="AW4" s="9">
        <v>2.5499999999999998</v>
      </c>
      <c r="AX4" s="9">
        <v>3.13</v>
      </c>
      <c r="AY4" s="9">
        <v>2.5299999999999998</v>
      </c>
      <c r="AZ4" s="9">
        <v>0.38</v>
      </c>
      <c r="BA4" s="9">
        <v>0.24</v>
      </c>
      <c r="BB4" s="9">
        <v>0.32</v>
      </c>
      <c r="BC4" s="9">
        <v>0.27</v>
      </c>
      <c r="BH4" s="9">
        <v>22.71</v>
      </c>
      <c r="BI4" s="9">
        <v>36.17</v>
      </c>
      <c r="BJ4" s="9">
        <v>27.12</v>
      </c>
      <c r="BK4" s="9">
        <v>38.99</v>
      </c>
      <c r="BN4" s="12"/>
      <c r="BO4">
        <v>0</v>
      </c>
      <c r="BP4">
        <v>0</v>
      </c>
      <c r="BR4">
        <v>0</v>
      </c>
      <c r="BS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1D66-8D32-4B74-9E73-5D351E07638D}">
  <dimension ref="A1:BQ4"/>
  <sheetViews>
    <sheetView workbookViewId="0">
      <selection activeCell="D13" sqref="D13"/>
    </sheetView>
  </sheetViews>
  <sheetFormatPr defaultRowHeight="15" x14ac:dyDescent="0.25"/>
  <cols>
    <col min="2" max="2" width="10.85546875" bestFit="1" customWidth="1"/>
  </cols>
  <sheetData>
    <row r="1" spans="1:69" x14ac:dyDescent="0.25">
      <c r="A1" t="s">
        <v>1</v>
      </c>
      <c r="B1" t="s">
        <v>2</v>
      </c>
      <c r="C1" t="s">
        <v>0</v>
      </c>
      <c r="D1" t="s">
        <v>233</v>
      </c>
      <c r="E1" t="s">
        <v>5</v>
      </c>
      <c r="F1" t="s">
        <v>4</v>
      </c>
      <c r="G1" t="s">
        <v>3</v>
      </c>
      <c r="H1" t="s">
        <v>7</v>
      </c>
      <c r="I1" t="s">
        <v>5</v>
      </c>
      <c r="J1" t="s">
        <v>4</v>
      </c>
      <c r="K1" t="s">
        <v>3</v>
      </c>
      <c r="L1" t="s">
        <v>239</v>
      </c>
      <c r="M1" t="s">
        <v>5</v>
      </c>
      <c r="N1" t="s">
        <v>4</v>
      </c>
      <c r="O1" t="s">
        <v>3</v>
      </c>
      <c r="P1" t="s">
        <v>235</v>
      </c>
      <c r="Q1" t="s">
        <v>236</v>
      </c>
      <c r="R1" t="s">
        <v>237</v>
      </c>
      <c r="S1" t="s">
        <v>238</v>
      </c>
      <c r="T1" s="14" t="s">
        <v>263</v>
      </c>
      <c r="U1" s="14" t="s">
        <v>5</v>
      </c>
      <c r="V1" s="14" t="s">
        <v>4</v>
      </c>
      <c r="W1" s="14" t="s">
        <v>3</v>
      </c>
      <c r="X1" t="s">
        <v>11</v>
      </c>
      <c r="Y1" t="s">
        <v>10</v>
      </c>
      <c r="Z1" t="s">
        <v>13</v>
      </c>
      <c r="AA1" t="s">
        <v>12</v>
      </c>
      <c r="AB1" t="s">
        <v>240</v>
      </c>
      <c r="AC1" t="s">
        <v>241</v>
      </c>
      <c r="AD1" t="s">
        <v>242</v>
      </c>
      <c r="AE1" t="s">
        <v>243</v>
      </c>
      <c r="AF1" t="s">
        <v>265</v>
      </c>
      <c r="AG1" t="s">
        <v>14</v>
      </c>
      <c r="AH1" t="s">
        <v>19</v>
      </c>
      <c r="AI1" t="s">
        <v>3</v>
      </c>
      <c r="AJ1" t="s">
        <v>287</v>
      </c>
      <c r="AK1" t="s">
        <v>20</v>
      </c>
      <c r="AL1" t="s">
        <v>19</v>
      </c>
      <c r="AM1" t="s">
        <v>3</v>
      </c>
      <c r="AN1" t="s">
        <v>245</v>
      </c>
      <c r="AO1" t="s">
        <v>14</v>
      </c>
      <c r="AP1" t="s">
        <v>19</v>
      </c>
      <c r="AQ1" t="s">
        <v>3</v>
      </c>
      <c r="AR1" t="s">
        <v>246</v>
      </c>
      <c r="AS1" t="s">
        <v>14</v>
      </c>
      <c r="AT1" t="s">
        <v>19</v>
      </c>
      <c r="AU1" t="s">
        <v>3</v>
      </c>
      <c r="AV1" t="s">
        <v>247</v>
      </c>
      <c r="AW1" t="s">
        <v>14</v>
      </c>
      <c r="AX1" t="s">
        <v>19</v>
      </c>
      <c r="AY1" t="s">
        <v>3</v>
      </c>
      <c r="AZ1" t="s">
        <v>266</v>
      </c>
      <c r="BA1" t="s">
        <v>249</v>
      </c>
      <c r="BB1" t="s">
        <v>250</v>
      </c>
      <c r="BC1" t="s">
        <v>251</v>
      </c>
      <c r="BD1" t="s">
        <v>252</v>
      </c>
      <c r="BE1" t="s">
        <v>253</v>
      </c>
      <c r="BF1" t="s">
        <v>254</v>
      </c>
      <c r="BG1" t="s">
        <v>255</v>
      </c>
      <c r="BH1" t="s">
        <v>256</v>
      </c>
      <c r="BI1" t="s">
        <v>29</v>
      </c>
      <c r="BJ1" t="s">
        <v>30</v>
      </c>
      <c r="BK1" t="s">
        <v>31</v>
      </c>
      <c r="BL1" s="1" t="s">
        <v>32</v>
      </c>
      <c r="BM1" t="s">
        <v>33</v>
      </c>
      <c r="BN1" t="s">
        <v>42</v>
      </c>
      <c r="BO1" t="s">
        <v>258</v>
      </c>
      <c r="BP1" t="s">
        <v>259</v>
      </c>
      <c r="BQ1" t="s">
        <v>41</v>
      </c>
    </row>
    <row r="2" spans="1:69" x14ac:dyDescent="0.25">
      <c r="A2">
        <v>1</v>
      </c>
      <c r="B2" s="2">
        <v>44930</v>
      </c>
      <c r="C2" t="s">
        <v>288</v>
      </c>
      <c r="D2">
        <v>3.3</v>
      </c>
      <c r="E2">
        <v>5.9</v>
      </c>
      <c r="F2">
        <v>3.9</v>
      </c>
      <c r="G2">
        <v>3.4</v>
      </c>
      <c r="H2">
        <v>90.6</v>
      </c>
      <c r="I2">
        <v>94.5</v>
      </c>
      <c r="J2">
        <v>95.1</v>
      </c>
      <c r="K2">
        <v>95.6</v>
      </c>
      <c r="L2">
        <v>995.1</v>
      </c>
      <c r="M2">
        <v>990.5</v>
      </c>
      <c r="N2">
        <v>1002.5</v>
      </c>
      <c r="O2">
        <v>1005.8</v>
      </c>
      <c r="P2">
        <v>27.6</v>
      </c>
      <c r="Q2">
        <v>24.2</v>
      </c>
      <c r="R2">
        <v>24.7</v>
      </c>
      <c r="S2">
        <v>9.6</v>
      </c>
      <c r="T2">
        <v>0.41699999999999998</v>
      </c>
      <c r="U2">
        <v>4.7450000000000001</v>
      </c>
      <c r="V2">
        <v>0.57699999999999996</v>
      </c>
      <c r="W2">
        <v>6.4000000000000001E-2</v>
      </c>
      <c r="AZ2">
        <v>11.33333333</v>
      </c>
      <c r="BA2">
        <v>14</v>
      </c>
      <c r="BB2">
        <v>6.6666666670000003</v>
      </c>
      <c r="BC2">
        <v>2.9333333E-2</v>
      </c>
      <c r="BD2">
        <v>0.13500000000000001</v>
      </c>
      <c r="BE2">
        <v>-3</v>
      </c>
      <c r="BF2">
        <v>61.333333330000002</v>
      </c>
      <c r="BI2">
        <v>42</v>
      </c>
      <c r="BJ2">
        <v>0</v>
      </c>
      <c r="BK2">
        <v>0</v>
      </c>
    </row>
    <row r="3" spans="1:69" x14ac:dyDescent="0.25">
      <c r="A3">
        <v>2</v>
      </c>
      <c r="B3" s="2">
        <v>45489</v>
      </c>
      <c r="C3" t="s">
        <v>288</v>
      </c>
      <c r="D3">
        <v>21.9</v>
      </c>
      <c r="E3">
        <v>22.6</v>
      </c>
      <c r="F3">
        <v>18.7</v>
      </c>
      <c r="G3">
        <v>18.600000000000001</v>
      </c>
      <c r="H3">
        <v>75.8</v>
      </c>
      <c r="I3">
        <v>65.2</v>
      </c>
      <c r="J3">
        <v>78.7</v>
      </c>
      <c r="K3">
        <v>80.900000000000006</v>
      </c>
      <c r="L3">
        <v>1011.8</v>
      </c>
      <c r="M3">
        <v>1013.5</v>
      </c>
      <c r="N3">
        <v>1014.1</v>
      </c>
      <c r="O3">
        <v>1010</v>
      </c>
      <c r="P3">
        <v>10.8</v>
      </c>
      <c r="Q3">
        <v>10.4</v>
      </c>
      <c r="R3">
        <v>8.3000000000000007</v>
      </c>
      <c r="S3">
        <v>14.4</v>
      </c>
      <c r="T3">
        <v>2.2000000000000002</v>
      </c>
      <c r="U3">
        <v>0</v>
      </c>
      <c r="V3">
        <v>8</v>
      </c>
      <c r="W3">
        <v>2.7</v>
      </c>
      <c r="AZ3">
        <v>17</v>
      </c>
      <c r="BA3">
        <v>21.666666670000001</v>
      </c>
      <c r="BB3">
        <v>10</v>
      </c>
      <c r="BC3">
        <v>3.333333E-3</v>
      </c>
      <c r="BD3">
        <v>1.4E-2</v>
      </c>
      <c r="BE3">
        <v>22</v>
      </c>
      <c r="BF3">
        <v>72.666666669999998</v>
      </c>
    </row>
    <row r="4" spans="1:69" x14ac:dyDescent="0.25">
      <c r="A4">
        <v>3</v>
      </c>
      <c r="B4" s="2">
        <v>45707</v>
      </c>
      <c r="C4" t="s">
        <v>288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8112b-077f-4da4-978f-e605c9915a21" xsi:nil="true"/>
    <lcf76f155ced4ddcb4097134ff3c332f xmlns="bc7f03d0-24c0-4cca-ba8d-54a05d813d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AB07D9E325783408DE35370151E35E0" ma:contentTypeVersion="11" ma:contentTypeDescription="Utwórz nowy dokument." ma:contentTypeScope="" ma:versionID="497caadd19119b3b85d79514d619a08b">
  <xsd:schema xmlns:xsd="http://www.w3.org/2001/XMLSchema" xmlns:xs="http://www.w3.org/2001/XMLSchema" xmlns:p="http://schemas.microsoft.com/office/2006/metadata/properties" xmlns:ns2="bc7f03d0-24c0-4cca-ba8d-54a05d813dcd" xmlns:ns3="d668112b-077f-4da4-978f-e605c9915a21" targetNamespace="http://schemas.microsoft.com/office/2006/metadata/properties" ma:root="true" ma:fieldsID="e34de88d3cea67eb31073f2c38731342" ns2:_="" ns3:_="">
    <xsd:import namespace="bc7f03d0-24c0-4cca-ba8d-54a05d813dcd"/>
    <xsd:import namespace="d668112b-077f-4da4-978f-e605c9915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f03d0-24c0-4cca-ba8d-54a05d813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19df4c6f-8961-41b0-b5dd-85bee8602c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8112b-077f-4da4-978f-e605c9915a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6eb552-f4ee-49c8-992c-36fd41e02446}" ma:internalName="TaxCatchAll" ma:showField="CatchAllData" ma:web="d668112b-077f-4da4-978f-e605c9915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B8E87-2A21-4891-A74C-0B6062E5F54B}">
  <ds:schemaRefs>
    <ds:schemaRef ds:uri="http://schemas.microsoft.com/office/2006/metadata/properties"/>
    <ds:schemaRef ds:uri="http://schemas.microsoft.com/office/infopath/2007/PartnerControls"/>
    <ds:schemaRef ds:uri="d668112b-077f-4da4-978f-e605c9915a21"/>
    <ds:schemaRef ds:uri="bc7f03d0-24c0-4cca-ba8d-54a05d813dcd"/>
  </ds:schemaRefs>
</ds:datastoreItem>
</file>

<file path=customXml/itemProps2.xml><?xml version="1.0" encoding="utf-8"?>
<ds:datastoreItem xmlns:ds="http://schemas.openxmlformats.org/officeDocument/2006/customXml" ds:itemID="{17C663C7-6B34-432E-AD5B-CDFB62B3A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F66E53-AFDA-4887-BB4C-775A17821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f03d0-24c0-4cca-ba8d-54a05d813dcd"/>
    <ds:schemaRef ds:uri="d668112b-077f-4da4-978f-e605c9915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Poznań</vt:lpstr>
      <vt:lpstr>Łódź</vt:lpstr>
      <vt:lpstr>Rybnik</vt:lpstr>
      <vt:lpstr>WPN</vt:lpstr>
      <vt:lpstr>Drawieński park Narodowy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Dmytro Boiko</cp:lastModifiedBy>
  <cp:revision/>
  <dcterms:created xsi:type="dcterms:W3CDTF">2023-12-20T10:21:07Z</dcterms:created>
  <dcterms:modified xsi:type="dcterms:W3CDTF">2025-07-08T12:27:12Z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0x010100DAB07D9E325783408DE35370151E35E0</vt:lpwstr>
  </property>
  <property fmtid="{D5CDD505-2E9C-101B-9397-08002B2CF9AE}" pid="3" name="MediaServiceImageTags">
    <vt:lpwstr/>
  </property>
</Properties>
</file>